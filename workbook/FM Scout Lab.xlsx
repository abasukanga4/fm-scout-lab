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c9f44a60d64a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ut Desk" sheetId="1" r:id="Rc5a275c8918a4f47"/>
    <x:sheet xmlns:r="http://schemas.openxmlformats.org/officeDocument/2006/relationships" name="Compare" sheetId="2" r:id="R499f2198fec74be3"/>
    <x:sheet xmlns:r="http://schemas.openxmlformats.org/officeDocument/2006/relationships" name="Model" sheetId="3" r:id="R47c3f2543f33485e"/>
    <x:sheet xmlns:r="http://schemas.openxmlformats.org/officeDocument/2006/relationships" name="Settings" sheetId="4" r:id="R65e0e6d38bfe4e9e"/>
    <x:sheet xmlns:r="http://schemas.openxmlformats.org/officeDocument/2006/relationships" name="Players" sheetId="5" r:id="Rd0150ddc9ef14b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£&quot;#,##0"/>
    <x:numFmt numFmtId="201" formatCode="0%"/>
    <x:numFmt numFmtId="202" formatCode="#,##0"/>
    <x:numFmt numFmtId="203" formatCode="0.0"/>
  </x:numFmts>
  <x:fonts count="8">
    <x:font>
      <x:sz val="11"/>
      <x:name val="Carlito"/>
    </x:font>
    <x:font>
      <x:sz val="11"/>
      <x:color rgb="FF16352D"/>
      <x:name val="Arial"/>
    </x:font>
    <x:font>
      <x:b/>
      <x:sz val="17"/>
      <x:color rgb="FF16352D"/>
      <x:name val="Arial"/>
    </x:font>
    <x:font>
      <x:b/>
      <x:sz val="11"/>
      <x:color rgb="FF16352D"/>
      <x:name val="Arial"/>
    </x:font>
    <x:font>
      <x:sz val="11"/>
      <x:color rgb="FF164C94"/>
      <x:name val="Arial"/>
    </x:font>
    <x:font>
      <x:b/>
      <x:sz val="11"/>
      <x:color rgb="FFFFFFFF"/>
      <x:name val="Arial"/>
    </x:font>
    <x:font>
      <x:sz val="11"/>
      <x:color rgb="FF66736C"/>
      <x:name val="Arial"/>
    </x:font>
    <x:font>
      <x:b/>
      <x:sz val="17"/>
      <x:color rgb="FF2E6C5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0C2"/>
      </x:patternFill>
    </x:fill>
    <x:fill>
      <x:patternFill patternType="solid">
        <x:fgColor rgb="FF16352D"/>
      </x:patternFill>
    </x:fill>
  </x:fills>
  <x:borders count="2">
    <x:border/>
    <x:border>
      <x:bottom style="thin">
        <x:color rgb="FF2E6C54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201" fontId="4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b/>
        <x:color rgb="FF9D3026"/>
      </x:font>
      <x:fill>
        <x:patternFill patternType="solid">
          <x:bgColor rgb="FFFCE4DF"/>
        </x:patternFill>
      </x:fill>
    </x:dxf>
    <x:dxf>
      <x:font>
        <x:b/>
        <x:color rgb="FF9D3026"/>
      </x:font>
      <x:fill>
        <x:patternFill patternType="solid">
          <x:bgColor rgb="FFFCE4DF"/>
        </x:patternFill>
      </x:fill>
    </x:dxf>
    <x:dxf>
      <x:font>
        <x:b/>
        <x:color rgb="FF9D3026"/>
      </x:font>
      <x:fill>
        <x:patternFill patternType="solid">
          <x:bgColor rgb="FFFCE4DF"/>
        </x:patternFill>
      </x:fill>
    </x:dxf>
    <x:dxf>
      <x:font>
        <x:b/>
        <x:color rgb="FF9D3026"/>
      </x:font>
      <x:fill>
        <x:patternFill patternType="solid">
          <x:bgColor rgb="FFFCE4DF"/>
        </x:patternFill>
      </x:fill>
    </x:dxf>
    <x:dxf>
      <x:font>
        <x:b/>
        <x:color rgb="FF9D3026"/>
      </x:font>
      <x:fill>
        <x:patternFill patternType="solid">
          <x:bgColor rgb="FFFCE4DF"/>
        </x:patternFill>
      </x:fill>
    </x:dxf>
    <x:dxf>
      <x:font>
        <x:b/>
        <x:color rgb="FF16352D"/>
      </x:font>
      <x:fill>
        <x:patternFill patternType="solid">
          <x:bgColor rgb="FFDDECB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39ee012e654505" /><Relationship Type="http://schemas.openxmlformats.org/officeDocument/2006/relationships/theme" Target="/xl/theme/theme1.xml" Id="R459298af457d40ef" /><Relationship Type="http://schemas.openxmlformats.org/officeDocument/2006/relationships/sharedStrings" Target="/xl/sharedStrings.xml" Id="R4aac91d6586c4c29" /><Relationship Type="http://schemas.openxmlformats.org/officeDocument/2006/relationships/worksheet" Target="/xl/worksheets/sheet1.xml" Id="Rc5a275c8918a4f47" /><Relationship Type="http://schemas.openxmlformats.org/officeDocument/2006/relationships/worksheet" Target="/xl/worksheets/sheet2.xml" Id="R499f2198fec74be3" /><Relationship Type="http://schemas.openxmlformats.org/officeDocument/2006/relationships/worksheet" Target="/xl/worksheets/sheet3.xml" Id="R47c3f2543f33485e" /><Relationship Type="http://schemas.openxmlformats.org/officeDocument/2006/relationships/worksheet" Target="/xl/worksheets/sheet4.xml" Id="R65e0e6d38bfe4e9e" /><Relationship Type="http://schemas.openxmlformats.org/officeDocument/2006/relationships/worksheet" Target="/xl/worksheets/sheet5.xml" Id="Rd0150ddc9ef14b5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b73d4e325834c60" /><Relationship Type="http://schemas.openxmlformats.org/officeDocument/2006/relationships/chart" Target="/xl/drawings/charts/chart2.xml" Id="R5c5e59da13af4f0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99e9bf12983c400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Shortlist attribute score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Score /100</c:v>
          </c:tx>
          <c:spPr>
            <a:solidFill xmlns:a="http://schemas.openxmlformats.org/drawingml/2006/main">
              <a:srgbClr val="2E6C54"/>
            </a:solidFill>
          </c:spPr>
          <c:cat>
            <c:strRef>
              <c:f>'Scout Desk'!$C$15:$C$20</c:f>
              <c:strCache>
                <c:ptCount val="0"/>
              </c:strCache>
            </c:strRef>
          </c:cat>
          <c:val>
            <c:numRef>
              <c:f>'Scout Desk'!$D$15:$D$20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Fee + contracted wages (£m)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Commitment GBP</c:v>
          </c:tx>
          <c:spPr>
            <a:solidFill xmlns:a="http://schemas.openxmlformats.org/drawingml/2006/main">
              <a:srgbClr val="839B5A"/>
            </a:solidFill>
          </c:spPr>
          <c:cat>
            <c:strRef>
              <c:f>'Scout Desk'!$C$15:$C$20</c:f>
              <c:strCache>
                <c:ptCount val="0"/>
              </c:strCache>
            </c:strRef>
          </c:cat>
          <c:val>
            <c:numRef>
              <c:f>'Scout Desk'!$G$15:$G$20</c:f>
              <c:numCache>
                <c:formatCode>"£"#,##0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£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Attributes on the 1–20 scale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Marco Linden</c:v>
          </c:tx>
          <c:spPr>
            <a:solidFill xmlns:a="http://schemas.openxmlformats.org/drawingml/2006/main">
              <a:srgbClr val="2E6C54"/>
            </a:solidFill>
          </c:spPr>
          <c:cat>
            <c:strRef>
              <c:f>'Compare'!$B$11:$B$16</c:f>
              <c:strCache>
                <c:ptCount val="0"/>
              </c:strCache>
            </c:strRef>
          </c:cat>
          <c:val>
            <c:numRef>
              <c:f>'Compare'!$C$11:$C$16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Luca Harrow</c:v>
          </c:tx>
          <c:spPr>
            <a:solidFill xmlns:a="http://schemas.openxmlformats.org/drawingml/2006/main">
              <a:srgbClr val="B1BE80"/>
            </a:solidFill>
          </c:spPr>
          <c:cat>
            <c:strRef>
              <c:f>'Compare'!$B$11:$B$16</c:f>
              <c:strCache>
                <c:ptCount val="0"/>
              </c:strCache>
            </c:strRef>
          </c:cat>
          <c:val>
            <c:numRef>
              <c:f>'Compare'!$D$11:$D$16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24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73d4e325834c60"/>
        </a:graphicData>
      </a:graphic>
    </xdr:graphicFrame>
    <xdr:clientData/>
  </xdr:twoCellAnchor>
  <xdr:twoCellAnchor>
    <xdr:from>
      <xdr:col>8</xdr:col>
      <xdr:colOff>0</xdr:colOff>
      <xdr:row>24</xdr:row>
      <xdr:rowOff>0</xdr:rowOff>
    </xdr:from>
    <xdr:to>
      <xdr:col>15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5e59da13af4f0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8</xdr:row>
      <xdr:rowOff>0</xdr:rowOff>
    </xdr:from>
    <xdr:to>
      <xdr:col>15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e9bf12983c400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ScoutingModel" displayName="ScoutingModel" ref="A1:Q61" headerRowCount="1" totalsRowCount="0" totalsRowShown="0">
  <x:tableColumns count="17">
    <x:tableColumn id="1" name="Player ID"/>
    <x:tableColumn id="2" name="Player"/>
    <x:tableColumn id="3" name="Position"/>
    <x:tableColumn id="4" name="Age"/>
    <x:tableColumn id="5" name="Fee high GBP"/>
    <x:tableColumn id="6" name="Wage GBP/week"/>
    <x:tableColumn id="7" name="Minutes"/>
    <x:tableColumn id="8" name="Attributes count"/>
    <x:tableColumn id="9" name="Duplicate count"/>
    <x:tableColumn id="10" name="Data status"/>
    <x:tableColumn id="11" name="Role score /100"/>
    <x:tableColumn id="12" name="Commitment GBP"/>
    <x:tableColumn id="13" name="Screen result"/>
    <x:tableColumn id="14" name="Eligible rank"/>
    <x:tableColumn id="15" name="Fee low GBP"/>
    <x:tableColumn id="16" name="Dominated by"/>
    <x:tableColumn id="17" name="Cost / score frontier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1" name="PlayerInputs" displayName="PlayerInputs" ref="A1:N61" headerRowCount="1" totalsRowCount="0" totalsRowShown="0">
  <x:tableColumns count="14">
    <x:tableColumn id="1" name="Player ID"/>
    <x:tableColumn id="2" name="Player"/>
    <x:tableColumn id="3" name="Position group"/>
    <x:tableColumn id="4" name="Age"/>
    <x:tableColumn id="5" name="Fee low GBP"/>
    <x:tableColumn id="6" name="Fee high GBP"/>
    <x:tableColumn id="7" name="Wage GBP/week"/>
    <x:tableColumn id="8" name="Minutes"/>
    <x:tableColumn id="9" name="Finishing"/>
    <x:tableColumn id="10" name="Passing"/>
    <x:tableColumn id="11" name="Tackling"/>
    <x:tableColumn id="12" name="Positioning"/>
    <x:tableColumn id="13" name="Pace"/>
    <x:tableColumn id="14" name="Work rate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ddd615ff187456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8fb0f13bb93247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988bff1168842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69d64c62cff54118" /></Relationships>
</file>

<file path=xl/worksheets/sheet1.xml><?xml version="1.0" encoding="utf-8"?>
<x:worksheet xmlns:x="http://schemas.openxmlformats.org/spreadsheetml/2006/main">
  <x:sheetPr>
    <x:tabColor rgb="FF16352D"/>
  </x:sheetPr>
  <x:sheetViews>
    <x:sheetView showGridLines="0" workbookViewId="0"/>
  </x:sheetViews>
  <x:sheetFormatPr defaultRowHeight="15"/>
  <x:cols>
    <x:col min="1" max="1" width="3" hidden="0" customWidth="1"/>
    <x:col min="2" max="2" width="8" hidden="0" customWidth="1"/>
    <x:col min="3" max="3" width="23" hidden="0" customWidth="1"/>
    <x:col min="4" max="4" width="15" hidden="0" customWidth="1"/>
    <x:col min="5" max="5" width="19" hidden="0" customWidth="1"/>
    <x:col min="6" max="6" width="19" hidden="0" customWidth="1"/>
    <x:col min="7" max="7" width="19" hidden="0" customWidth="1"/>
    <x:col min="8" max="8" width="14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2" customHeight="1">
      <x:c r="A2" s="2"/>
      <x:c r="B2" s="4" t="str">
        <x:v>FM Scout Lab</x:v>
      </x:c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3" customHeight="1">
      <x:c r="A3" s="2"/>
      <x:c r="B3" s="20" t="str">
        <x:v>A recruitment decision workbook • FICTIONAL DEMO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3" customHeight="1">
      <x:c r="A5" s="2"/>
      <x:c r="B5" s="2" t="str">
        <x:v>Target position</x:v>
      </x:c>
      <x:c r="C5" s="2"/>
      <x:c r="D5" s="2" t="str">
        <x:f>Settings!C6</x:f>
        <x:v>Midfielder</x:v>
      </x:c>
      <x:c r="E5" s="2"/>
      <x:c r="F5" s="2"/>
      <x:c r="G5" s="2"/>
      <x:c r="H5" s="2" t="str">
        <x:v>Edit controls on Settings</x:v>
      </x:c>
      <x:c r="I5" s="2"/>
      <x:c r="J5" s="2"/>
      <x:c r="K5" s="2"/>
      <x:c r="L5" s="2"/>
      <x:c r="M5" s="2"/>
      <x:c r="N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23" customHeight="1">
      <x:c r="A7" s="2"/>
      <x:c r="B7" s="2" t="str">
        <x:v>Eligible players</x:v>
      </x:c>
      <x:c r="C7" s="2"/>
      <x:c r="D7" s="2"/>
      <x:c r="E7" s="2"/>
      <x:c r="F7" s="2" t="str">
        <x:v>Records reviewed</x:v>
      </x:c>
      <x:c r="G7" s="2"/>
      <x:c r="H7" s="2"/>
      <x:c r="I7" s="2"/>
      <x:c r="J7" s="2" t="str">
        <x:v>Data exceptions</x:v>
      </x:c>
      <x:c r="K7" s="2"/>
      <x:c r="L7" s="2"/>
      <x:c r="M7" s="2"/>
      <x:c r="N7" s="2"/>
    </x:row>
    <x:row r="8" ht="23" customHeight="1">
      <x:c r="A8" s="2"/>
      <x:c r="B8" s="21" t="n">
        <x:f>COUNTIF(Model!M2:M61,"Eligible")</x:f>
        <x:v>6</x:v>
      </x:c>
      <x:c r="C8" s="2"/>
      <x:c r="D8" s="2"/>
      <x:c r="E8" s="2"/>
      <x:c r="F8" s="21" t="n">
        <x:f>COUNTA(Players!B2:B61)</x:f>
        <x:v>36</x:v>
      </x:c>
      <x:c r="G8" s="2"/>
      <x:c r="H8" s="2"/>
      <x:c r="I8" s="2"/>
      <x:c r="J8" s="21" t="n">
        <x:f>COUNTIF(Model!M2:M61,"Fix data")</x:f>
        <x:v>3</x:v>
      </x:c>
      <x:c r="K8" s="2"/>
      <x:c r="L8" s="2"/>
      <x:c r="M8" s="2"/>
      <x:c r="N8" s="2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23" customHeight="1">
      <x:c r="A10" s="2"/>
      <x:c r="B10" s="2" t="str">
        <x:f>IF(OR(Settings!C14&lt;&gt;"OK",Settings!E24&lt;&gt;"OK"),"Fix controls or role weights on Settings before using the shortlist.",IF(B8=0,"No eligible players. Review the screening reasons in Model.","Frontier: no player improves cost or score without worsening the other. Ranked by attribute fit."))</x:f>
        <x:v>Frontier: no player improves cost or score without worsening the other. Ranked by attribute fit.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23" customHeight="1">
      <x:c r="A12" s="2"/>
      <x:c r="B12" s="6" t="str">
        <x:v>Shortlist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 t="str">
        <x:v>Screening reasons</x:v>
      </x:c>
      <x:c r="K13" s="2"/>
      <x:c r="L13" s="2"/>
      <x:c r="M13" s="2"/>
      <x:c r="N13" s="2"/>
    </x:row>
    <x:row r="14" ht="30" customHeight="1">
      <x:c r="A14" s="2"/>
      <x:c r="B14" s="13" t="str">
        <x:v>Rank</x:v>
      </x:c>
      <x:c r="C14" s="13" t="str">
        <x:v>Player</x:v>
      </x:c>
      <x:c r="D14" s="13" t="str">
        <x:v>Score /100</x:v>
      </x:c>
      <x:c r="E14" s="13" t="str">
        <x:v>Fee high GBP</x:v>
      </x:c>
      <x:c r="F14" s="13" t="str">
        <x:v>Wage /week</x:v>
      </x:c>
      <x:c r="G14" s="13" t="str">
        <x:v>Commitment GBP</x:v>
      </x:c>
      <x:c r="H14" s="13" t="str">
        <x:v>Cost / score</x:v>
      </x:c>
      <x:c r="I14" s="2"/>
      <x:c r="J14" s="13" t="str">
        <x:v>Reason</x:v>
      </x:c>
      <x:c r="K14" s="13"/>
      <x:c r="L14" s="13"/>
      <x:c r="M14" s="13" t="str">
        <x:v>Players</x:v>
      </x:c>
      <x:c r="N14" s="2"/>
    </x:row>
    <x:row r="15" ht="23" customHeight="1">
      <x:c r="A15" s="2"/>
      <x:c r="B15" s="2" t="n">
        <x:v>1</x:v>
      </x:c>
      <x:c r="C15" s="2" t="str">
        <x:f>IF($B15&gt;$B$8,"",INDEX(Model!$B$2:$B$61,MATCH($B15,Model!$N$2:$N$61,0)))</x:f>
        <x:v>Remy Vale</x:v>
      </x:c>
      <x:c r="D15" s="19" t="n">
        <x:f>IF($B15&gt;$B$8,"",INDEX(Model!$K$2:$K$61,MATCH($B15,Model!$N$2:$N$61,0)))</x:f>
        <x:v>75.50000000000001</x:v>
      </x:c>
      <x:c r="E15" s="17" t="n">
        <x:f>IF($B15&gt;$B$8,"",INDEX(Model!$E$2:$E$61,MATCH($B15,Model!$N$2:$N$61,0)))</x:f>
        <x:v>3700000</x:v>
      </x:c>
      <x:c r="F15" s="17" t="n">
        <x:f>IF($B15&gt;$B$8,"",INDEX(Model!$F$2:$F$61,MATCH($B15,Model!$N$2:$N$61,0)))</x:f>
        <x:v>22000</x:v>
      </x:c>
      <x:c r="G15" s="17" t="n">
        <x:f>IF($B15&gt;$B$8,"",INDEX(Model!$L$2:$L$61,MATCH($B15,Model!$N$2:$N$61,0)))</x:f>
        <x:v>7132000</x:v>
      </x:c>
      <x:c r="H15" s="2" t="str">
        <x:f>IF($B15&gt;$B$8,"",INDEX(Model!$Q$2:$Q$61,MATCH($B15,Model!$N$2:$N$61,0)))</x:f>
        <x:v>Frontier</x:v>
      </x:c>
      <x:c r="I15" s="2"/>
      <x:c r="J15" s="2" t="str">
        <x:v>Eligible</x:v>
      </x:c>
      <x:c r="K15" s="2"/>
      <x:c r="L15" s="2"/>
      <x:c r="M15" s="2" t="n">
        <x:f>COUNTIF(Model!$M$2:$M$61,J15)</x:f>
        <x:v>6</x:v>
      </x:c>
      <x:c r="N15" s="2"/>
    </x:row>
    <x:row r="16" ht="23" customHeight="1">
      <x:c r="A16" s="2"/>
      <x:c r="B16" s="2" t="n">
        <x:v>2</x:v>
      </x:c>
      <x:c r="C16" s="2" t="str">
        <x:f>IF($B16&gt;$B$8,"",INDEX(Model!$B$2:$B$61,MATCH($B16,Model!$N$2:$N$61,0)))</x:f>
        <x:v>Marco Linden</x:v>
      </x:c>
      <x:c r="D16" s="19" t="n">
        <x:f>IF($B16&gt;$B$8,"",INDEX(Model!$K$2:$K$61,MATCH($B16,Model!$N$2:$N$61,0)))</x:f>
        <x:v>73.50000000000001</x:v>
      </x:c>
      <x:c r="E16" s="17" t="n">
        <x:f>IF($B16&gt;$B$8,"",INDEX(Model!$E$2:$E$61,MATCH($B16,Model!$N$2:$N$61,0)))</x:f>
        <x:v>1900000</x:v>
      </x:c>
      <x:c r="F16" s="17" t="n">
        <x:f>IF($B16&gt;$B$8,"",INDEX(Model!$F$2:$F$61,MATCH($B16,Model!$N$2:$N$61,0)))</x:f>
        <x:v>10000</x:v>
      </x:c>
      <x:c r="G16" s="17" t="n">
        <x:f>IF($B16&gt;$B$8,"",INDEX(Model!$L$2:$L$61,MATCH($B16,Model!$N$2:$N$61,0)))</x:f>
        <x:v>3460000</x:v>
      </x:c>
      <x:c r="H16" s="2" t="str">
        <x:f>IF($B16&gt;$B$8,"",INDEX(Model!$Q$2:$Q$61,MATCH($B16,Model!$N$2:$N$61,0)))</x:f>
        <x:v>Frontier</x:v>
      </x:c>
      <x:c r="I16" s="2"/>
      <x:c r="J16" s="2" t="str">
        <x:v>Different position</x:v>
      </x:c>
      <x:c r="K16" s="2"/>
      <x:c r="L16" s="2"/>
      <x:c r="M16" s="2" t="n">
        <x:f>COUNTIF(Model!$M$2:$M$61,J16)</x:f>
        <x:v>25</x:v>
      </x:c>
      <x:c r="N16" s="2"/>
    </x:row>
    <x:row r="17" ht="23" customHeight="1">
      <x:c r="A17" s="2"/>
      <x:c r="B17" s="2" t="n">
        <x:v>3</x:v>
      </x:c>
      <x:c r="C17" s="2" t="str">
        <x:f>IF($B17&gt;$B$8,"",INDEX(Model!$B$2:$B$61,MATCH($B17,Model!$N$2:$N$61,0)))</x:f>
        <x:v>Alex Moreau</x:v>
      </x:c>
      <x:c r="D17" s="19" t="n">
        <x:f>IF($B17&gt;$B$8,"",INDEX(Model!$K$2:$K$61,MATCH($B17,Model!$N$2:$N$61,0)))</x:f>
        <x:v>73.50000000000001</x:v>
      </x:c>
      <x:c r="E17" s="17" t="n">
        <x:f>IF($B17&gt;$B$8,"",INDEX(Model!$E$2:$E$61,MATCH($B17,Model!$N$2:$N$61,0)))</x:f>
        <x:v>2100000</x:v>
      </x:c>
      <x:c r="F17" s="17" t="n">
        <x:f>IF($B17&gt;$B$8,"",INDEX(Model!$F$2:$F$61,MATCH($B17,Model!$N$2:$N$61,0)))</x:f>
        <x:v>10000</x:v>
      </x:c>
      <x:c r="G17" s="17" t="n">
        <x:f>IF($B17&gt;$B$8,"",INDEX(Model!$L$2:$L$61,MATCH($B17,Model!$N$2:$N$61,0)))</x:f>
        <x:v>3660000</x:v>
      </x:c>
      <x:c r="H17" s="2" t="str">
        <x:f>IF($B17&gt;$B$8,"",INDEX(Model!$Q$2:$Q$61,MATCH($B17,Model!$N$2:$N$61,0)))</x:f>
        <x:v>Dominated</x:v>
      </x:c>
      <x:c r="I17" s="2"/>
      <x:c r="J17" s="2" t="str">
        <x:v>Age limit</x:v>
      </x:c>
      <x:c r="K17" s="2"/>
      <x:c r="L17" s="2"/>
      <x:c r="M17" s="2" t="n">
        <x:f>COUNTIF(Model!$M$2:$M$61,J17)</x:f>
        <x:v>2</x:v>
      </x:c>
      <x:c r="N17" s="2"/>
    </x:row>
    <x:row r="18" ht="23" customHeight="1">
      <x:c r="A18" s="2"/>
      <x:c r="B18" s="2" t="n">
        <x:v>4</x:v>
      </x:c>
      <x:c r="C18" s="2" t="str">
        <x:f>IF($B18&gt;$B$8,"",INDEX(Model!$B$2:$B$61,MATCH($B18,Model!$N$2:$N$61,0)))</x:f>
        <x:v>Hugo West</x:v>
      </x:c>
      <x:c r="D18" s="19" t="n">
        <x:f>IF($B18&gt;$B$8,"",INDEX(Model!$K$2:$K$61,MATCH($B18,Model!$N$2:$N$61,0)))</x:f>
        <x:v>68</x:v>
      </x:c>
      <x:c r="E18" s="17" t="n">
        <x:f>IF($B18&gt;$B$8,"",INDEX(Model!$E$2:$E$61,MATCH($B18,Model!$N$2:$N$61,0)))</x:f>
        <x:v>3500000</x:v>
      </x:c>
      <x:c r="F18" s="17" t="n">
        <x:f>IF($B18&gt;$B$8,"",INDEX(Model!$F$2:$F$61,MATCH($B18,Model!$N$2:$N$61,0)))</x:f>
        <x:v>22000</x:v>
      </x:c>
      <x:c r="G18" s="17" t="n">
        <x:f>IF($B18&gt;$B$8,"",INDEX(Model!$L$2:$L$61,MATCH($B18,Model!$N$2:$N$61,0)))</x:f>
        <x:v>6932000</x:v>
      </x:c>
      <x:c r="H18" s="2" t="str">
        <x:f>IF($B18&gt;$B$8,"",INDEX(Model!$Q$2:$Q$61,MATCH($B18,Model!$N$2:$N$61,0)))</x:f>
        <x:v>Dominated</x:v>
      </x:c>
      <x:c r="I18" s="2"/>
      <x:c r="J18" s="2" t="str">
        <x:v>Fee limit</x:v>
      </x:c>
      <x:c r="K18" s="2"/>
      <x:c r="L18" s="2"/>
      <x:c r="M18" s="2" t="n">
        <x:f>COUNTIF(Model!$M$2:$M$61,J18)</x:f>
        <x:v>0</x:v>
      </x:c>
      <x:c r="N18" s="2"/>
    </x:row>
    <x:row r="19" ht="23" customHeight="1">
      <x:c r="A19" s="2"/>
      <x:c r="B19" s="2" t="n">
        <x:v>5</x:v>
      </x:c>
      <x:c r="C19" s="2" t="str">
        <x:f>IF($B19&gt;$B$8,"",INDEX(Model!$B$2:$B$61,MATCH($B19,Model!$N$2:$N$61,0)))</x:f>
        <x:v>Sam Larkin</x:v>
      </x:c>
      <x:c r="D19" s="19" t="n">
        <x:f>IF($B19&gt;$B$8,"",INDEX(Model!$K$2:$K$61,MATCH($B19,Model!$N$2:$N$61,0)))</x:f>
        <x:v>65</x:v>
      </x:c>
      <x:c r="E19" s="17" t="n">
        <x:f>IF($B19&gt;$B$8,"",INDEX(Model!$E$2:$E$61,MATCH($B19,Model!$N$2:$N$61,0)))</x:f>
        <x:v>1900000</x:v>
      </x:c>
      <x:c r="F19" s="17" t="n">
        <x:f>IF($B19&gt;$B$8,"",INDEX(Model!$F$2:$F$61,MATCH($B19,Model!$N$2:$N$61,0)))</x:f>
        <x:v>10000</x:v>
      </x:c>
      <x:c r="G19" s="17" t="n">
        <x:f>IF($B19&gt;$B$8,"",INDEX(Model!$L$2:$L$61,MATCH($B19,Model!$N$2:$N$61,0)))</x:f>
        <x:v>3460000</x:v>
      </x:c>
      <x:c r="H19" s="2" t="str">
        <x:f>IF($B19&gt;$B$8,"",INDEX(Model!$Q$2:$Q$61,MATCH($B19,Model!$N$2:$N$61,0)))</x:f>
        <x:v>Dominated</x:v>
      </x:c>
      <x:c r="I19" s="2"/>
      <x:c r="J19" s="2" t="str">
        <x:v>Wage limit</x:v>
      </x:c>
      <x:c r="K19" s="2"/>
      <x:c r="L19" s="2"/>
      <x:c r="M19" s="2" t="n">
        <x:f>COUNTIF(Model!$M$2:$M$61,J19)</x:f>
        <x:v>0</x:v>
      </x:c>
      <x:c r="N19" s="2"/>
    </x:row>
    <x:row r="20" ht="23" customHeight="1">
      <x:c r="A20" s="2"/>
      <x:c r="B20" s="2" t="n">
        <x:v>6</x:v>
      </x:c>
      <x:c r="C20" s="2" t="str">
        <x:f>IF($B20&gt;$B$8,"",INDEX(Model!$B$2:$B$61,MATCH($B20,Model!$N$2:$N$61,0)))</x:f>
        <x:v>Tomas Reed</x:v>
      </x:c>
      <x:c r="D20" s="19" t="n">
        <x:f>IF($B20&gt;$B$8,"",INDEX(Model!$K$2:$K$61,MATCH($B20,Model!$N$2:$N$61,0)))</x:f>
        <x:v>56.50000000000001</x:v>
      </x:c>
      <x:c r="E20" s="17" t="n">
        <x:f>IF($B20&gt;$B$8,"",INDEX(Model!$E$2:$E$61,MATCH($B20,Model!$N$2:$N$61,0)))</x:f>
        <x:v>3700000</x:v>
      </x:c>
      <x:c r="F20" s="17" t="n">
        <x:f>IF($B20&gt;$B$8,"",INDEX(Model!$F$2:$F$61,MATCH($B20,Model!$N$2:$N$61,0)))</x:f>
        <x:v>22000</x:v>
      </x:c>
      <x:c r="G20" s="17" t="n">
        <x:f>IF($B20&gt;$B$8,"",INDEX(Model!$L$2:$L$61,MATCH($B20,Model!$N$2:$N$61,0)))</x:f>
        <x:v>7132000</x:v>
      </x:c>
      <x:c r="H20" s="2" t="str">
        <x:f>IF($B20&gt;$B$8,"",INDEX(Model!$Q$2:$Q$61,MATCH($B20,Model!$N$2:$N$61,0)))</x:f>
        <x:v>Dominated</x:v>
      </x:c>
      <x:c r="I20" s="2"/>
      <x:c r="J20" s="2" t="str">
        <x:v>Minutes limit</x:v>
      </x:c>
      <x:c r="K20" s="2"/>
      <x:c r="L20" s="2"/>
      <x:c r="M20" s="2" t="n">
        <x:f>COUNTIF(Model!$M$2:$M$61,J20)</x:f>
        <x:v>0</x:v>
      </x:c>
      <x:c r="N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 t="str">
        <x:v>Fix data</x:v>
      </x:c>
      <x:c r="K21" s="2"/>
      <x:c r="L21" s="2"/>
      <x:c r="M21" s="2" t="n">
        <x:f>COUNTIF(Model!$M$2:$M$61,J21)</x:f>
        <x:v>3</x:v>
      </x:c>
      <x:c r="N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 t="str">
        <x:v>Fix weights</x:v>
      </x:c>
      <x:c r="K22" s="2"/>
      <x:c r="L22" s="2"/>
      <x:c r="M22" s="2" t="n">
        <x:f>COUNTIF(Model!$M$2:$M$61,J22)</x:f>
        <x:v>0</x:v>
      </x:c>
      <x:c r="N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 t="str">
        <x:v>Fix settings</x:v>
      </x:c>
      <x:c r="K23" s="2"/>
      <x:c r="L23" s="2"/>
      <x:c r="M23" s="2" t="n">
        <x:f>COUNTIF(Model!$M$2:$M$61,J23)</x:f>
        <x:v>0</x:v>
      </x:c>
      <x:c r="N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3" customHeight="1">
      <x:c r="A42" s="2"/>
      <x:c r="B42" s="2" t="str">
        <x:v>Both budgets must pass; commitment is not a separate spending limit.</x:v>
      </x:c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3" customHeight="1">
      <x:c r="A44" s="2"/>
      <x:c r="B44" s="2" t="str">
        <x:v>First failing screen shown. Equal scores retain source order; no claim of predictive ability.</x:v>
      </x:c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</x:sheetData>
  <x:conditionalFormatting sqref="H15:H20">
    <x:cfRule type="containsText" dxfId="5" priority="1" operator="containsText" text="Frontier"/>
  </x:conditionalFormatting>
  <x:pageMargins left="0.7" right="0.7" top="0.75" bottom="0.75" header="0.3" footer="0.3"/>
  <x:drawing xmlns:r="http://schemas.openxmlformats.org/officeDocument/2006/relationships" r:id="R1ddd615ff1874564"/>
</x:worksheet>
</file>

<file path=xl/worksheets/sheet2.xml><?xml version="1.0" encoding="utf-8"?>
<x:worksheet xmlns:x="http://schemas.openxmlformats.org/spreadsheetml/2006/main">
  <x:sheetPr>
    <x:tabColor rgb="FF2E6C54"/>
  </x:sheetPr>
  <x:sheetViews>
    <x:sheetView showGridLines="0" workbookViewId="0"/>
  </x:sheetViews>
  <x:sheetFormatPr defaultRowHeight="15"/>
  <x:cols>
    <x:col min="1" max="1" width="3" hidden="0" customWidth="1"/>
    <x:col min="2" max="2" width="25" hidden="0" customWidth="1"/>
    <x:col min="3" max="3" width="21" hidden="0" customWidth="1"/>
    <x:col min="4" max="4" width="21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2" customHeight="1">
      <x:c r="A2" s="2"/>
      <x:c r="B2" s="4" t="str">
        <x:v>Player comparison</x:v>
      </x:c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3" customHeight="1">
      <x:c r="A3" s="2"/>
      <x:c r="B3" s="2" t="str">
        <x:v>Choose two IDs, then inspect the individual attributes and cost range.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3" customHeight="1">
      <x:c r="A5" s="2"/>
      <x:c r="B5" s="2" t="str">
        <x:v>Player A ID</x:v>
      </x:c>
      <x:c r="C5" s="8" t="str">
        <x:v>P002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3" customHeight="1">
      <x:c r="A6" s="2"/>
      <x:c r="B6" s="2" t="str">
        <x:v>Player B ID</x:v>
      </x:c>
      <x:c r="C6" s="8" t="str">
        <x:v>P010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3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30" customHeight="1">
      <x:c r="A9" s="2"/>
      <x:c r="B9" s="13" t="str">
        <x:v>Player</x:v>
      </x:c>
      <x:c r="C9" s="13" t="str">
        <x:f>IF(COUNTIF(Players!$A$2:$A$61,$C$5)&lt;&gt;1,"Select unique ID",INDEX(Players!$B$2:$B$61,MATCH($C$5,Players!$A$2:$A$61,0)))</x:f>
        <x:v>Marco Linden</x:v>
      </x:c>
      <x:c r="D9" s="13" t="str">
        <x:f>IF(COUNTIF(Players!$A$2:$A$61,$C$6)&lt;&gt;1,"Select unique ID",INDEX(Players!$B$2:$B$61,MATCH($C$6,Players!$A$2:$A$61,0)))</x:f>
        <x:v>Luca Harrow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23" customHeight="1">
      <x:c r="A10" s="2"/>
      <x:c r="B10" s="2" t="str">
        <x:v>Attribute</x:v>
      </x:c>
      <x:c r="C10" s="2" t="str">
        <x:f>C9</x:f>
        <x:v>Marco Linden</x:v>
      </x:c>
      <x:c r="D10" s="2" t="str">
        <x:f>D9</x:f>
        <x:v>Luca Harrow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23" customHeight="1">
      <x:c r="A11" s="2"/>
      <x:c r="B11" s="2" t="str">
        <x:v>Finishing</x:v>
      </x:c>
      <x:c r="C11" s="2" t="n">
        <x:f>IF(COUNTIF(Players!$A$2:$A$61,$C$5)&lt;&gt;1,"",IF(INDEX(Players!$I$2:$I$61,MATCH($C$5,Players!$A$2:$A$61,0))="","",INDEX(Players!$I$2:$I$61,MATCH($C$5,Players!$A$2:$A$61,0))))</x:f>
        <x:v>15</x:v>
      </x:c>
      <x:c r="D11" s="2" t="n">
        <x:f>IF(COUNTIF(Players!$A$2:$A$61,$C$6)&lt;&gt;1,"",IF(INDEX(Players!$I$2:$I$61,MATCH($C$6,Players!$A$2:$A$61,0))="","",INDEX(Players!$I$2:$I$61,MATCH($C$6,Players!$A$2:$A$61,0))))</x:f>
        <x:v>11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23" customHeight="1">
      <x:c r="A12" s="2"/>
      <x:c r="B12" s="2" t="str">
        <x:v>Passing</x:v>
      </x:c>
      <x:c r="C12" s="2" t="n">
        <x:f>IF(COUNTIF(Players!$A$2:$A$61,$C$5)&lt;&gt;1,"",IF(INDEX(Players!$J$2:$J$61,MATCH($C$5,Players!$A$2:$A$61,0))="","",INDEX(Players!$J$2:$J$61,MATCH($C$5,Players!$A$2:$A$61,0))))</x:f>
        <x:v>15</x:v>
      </x:c>
      <x:c r="D12" s="2" t="n">
        <x:f>IF(COUNTIF(Players!$A$2:$A$61,$C$6)&lt;&gt;1,"",IF(INDEX(Players!$J$2:$J$61,MATCH($C$6,Players!$A$2:$A$61,0))="","",INDEX(Players!$J$2:$J$61,MATCH($C$6,Players!$A$2:$A$61,0))))</x:f>
        <x:v>18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23" customHeight="1">
      <x:c r="A13" s="2"/>
      <x:c r="B13" s="2" t="str">
        <x:v>Tackling</x:v>
      </x:c>
      <x:c r="C13" s="2" t="n">
        <x:f>IF(COUNTIF(Players!$A$2:$A$61,$C$5)&lt;&gt;1,"",IF(INDEX(Players!$K$2:$K$61,MATCH($C$5,Players!$A$2:$A$61,0))="","",INDEX(Players!$K$2:$K$61,MATCH($C$5,Players!$A$2:$A$61,0))))</x:f>
        <x:v>13</x:v>
      </x:c>
      <x:c r="D13" s="2" t="n">
        <x:f>IF(COUNTIF(Players!$A$2:$A$61,$C$6)&lt;&gt;1,"",IF(INDEX(Players!$K$2:$K$61,MATCH($C$6,Players!$A$2:$A$61,0))="","",INDEX(Players!$K$2:$K$61,MATCH($C$6,Players!$A$2:$A$61,0))))</x:f>
        <x:v>17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23" customHeight="1">
      <x:c r="A14" s="2"/>
      <x:c r="B14" s="2" t="str">
        <x:v>Positioning</x:v>
      </x:c>
      <x:c r="C14" s="2" t="n">
        <x:f>IF(COUNTIF(Players!$A$2:$A$61,$C$5)&lt;&gt;1,"",IF(INDEX(Players!$L$2:$L$61,MATCH($C$5,Players!$A$2:$A$61,0))="","",INDEX(Players!$L$2:$L$61,MATCH($C$5,Players!$A$2:$A$61,0))))</x:f>
        <x:v>17</x:v>
      </x:c>
      <x:c r="D14" s="2" t="n">
        <x:f>IF(COUNTIF(Players!$A$2:$A$61,$C$6)&lt;&gt;1,"",IF(INDEX(Players!$L$2:$L$61,MATCH($C$6,Players!$A$2:$A$61,0))="","",INDEX(Players!$L$2:$L$61,MATCH($C$6,Players!$A$2:$A$61,0))))</x:f>
        <x:v>10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3" customHeight="1">
      <x:c r="A15" s="2"/>
      <x:c r="B15" s="2" t="str">
        <x:v>Pace</x:v>
      </x:c>
      <x:c r="C15" s="2" t="n">
        <x:f>IF(COUNTIF(Players!$A$2:$A$61,$C$5)&lt;&gt;1,"",IF(INDEX(Players!$M$2:$M$61,MATCH($C$5,Players!$A$2:$A$61,0))="","",INDEX(Players!$M$2:$M$61,MATCH($C$5,Players!$A$2:$A$61,0))))</x:f>
        <x:v>11</x:v>
      </x:c>
      <x:c r="D15" s="2" t="n">
        <x:f>IF(COUNTIF(Players!$A$2:$A$61,$C$6)&lt;&gt;1,"",IF(INDEX(Players!$M$2:$M$61,MATCH($C$6,Players!$A$2:$A$61,0))="","",INDEX(Players!$M$2:$M$61,MATCH($C$6,Players!$A$2:$A$61,0))))</x:f>
        <x:v>13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3" customHeight="1">
      <x:c r="A16" s="2"/>
      <x:c r="B16" s="2" t="str">
        <x:v>Work rate</x:v>
      </x:c>
      <x:c r="C16" s="2" t="n">
        <x:f>IF(COUNTIF(Players!$A$2:$A$61,$C$5)&lt;&gt;1,"",IF(INDEX(Players!$N$2:$N$61,MATCH($C$5,Players!$A$2:$A$61,0))="","",INDEX(Players!$N$2:$N$61,MATCH($C$5,Players!$A$2:$A$61,0))))</x:f>
        <x:v>15</x:v>
      </x:c>
      <x:c r="D16" s="2" t="n">
        <x:f>IF(COUNTIF(Players!$A$2:$A$61,$C$6)&lt;&gt;1,"",IF(INDEX(Players!$N$2:$N$61,MATCH($C$6,Players!$A$2:$A$61,0))="","",INDEX(Players!$N$2:$N$61,MATCH($C$6,Players!$A$2:$A$61,0))))</x:f>
        <x:v>16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3" customHeight="1">
      <x:c r="A20" s="2"/>
      <x:c r="B20" s="2" t="str">
        <x:v>Role score /100</x:v>
      </x:c>
      <x:c r="C20" s="19" t="n">
        <x:f>IF(COUNTIF(Model!$A$2:$A$61,$C$5)&lt;&gt;1,"",INDEX(Model!$K$2:$K$61,MATCH($C$5,Model!$A$2:$A$61,0)))</x:f>
        <x:v>73.50000000000001</x:v>
      </x:c>
      <x:c r="D20" s="19" t="n">
        <x:f>IF(COUNTIF(Model!$A$2:$A$61,$C$6)&lt;&gt;1,"",INDEX(Model!$K$2:$K$61,MATCH($C$6,Model!$A$2:$A$61,0)))</x:f>
        <x:v>75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3" customHeight="1">
      <x:c r="A21" s="2"/>
      <x:c r="B21" s="2" t="str">
        <x:v>Data status</x:v>
      </x:c>
      <x:c r="C21" s="2" t="str">
        <x:f>IF(COUNTIF(Model!$A$2:$A$61,$C$5)&lt;&gt;1,"",INDEX(Model!$J$2:$J$61,MATCH($C$5,Model!$A$2:$A$61,0)))</x:f>
        <x:v>OK</x:v>
      </x:c>
      <x:c r="D21" s="2" t="str">
        <x:f>IF(COUNTIF(Model!$A$2:$A$61,$C$6)&lt;&gt;1,"",INDEX(Model!$J$2:$J$61,MATCH($C$6,Model!$A$2:$A$61,0)))</x:f>
        <x:v>OK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3" customHeight="1">
      <x:c r="A23" s="2"/>
      <x:c r="B23" s="2" t="str">
        <x:v>Fee low GBP</x:v>
      </x:c>
      <x:c r="C23" s="17" t="n">
        <x:f>IF(COUNTIF(Model!$A$2:$A$61,$C$5)&lt;&gt;1,"",INDEX(Model!$O$2:$O$61,MATCH($C$5,Model!$A$2:$A$61,0)))</x:f>
        <x:v>1200000</x:v>
      </x:c>
      <x:c r="D23" s="17" t="n">
        <x:f>IF(COUNTIF(Model!$A$2:$A$61,$C$6)&lt;&gt;1,"",INDEX(Model!$O$2:$O$61,MATCH($C$6,Model!$A$2:$A$61,0)))</x:f>
        <x:v>1200000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3" customHeight="1">
      <x:c r="A24" s="2"/>
      <x:c r="B24" s="2" t="str">
        <x:v>Fee high GBP</x:v>
      </x:c>
      <x:c r="C24" s="17" t="n">
        <x:f>IF(COUNTIF(Model!$A$2:$A$61,$C$5)&lt;&gt;1,"",INDEX(Model!$E$2:$E$61,MATCH($C$5,Model!$A$2:$A$61,0)))</x:f>
        <x:v>1900000</x:v>
      </x:c>
      <x:c r="D24" s="17" t="n">
        <x:f>IF(COUNTIF(Model!$A$2:$A$61,$C$6)&lt;&gt;1,"",INDEX(Model!$E$2:$E$61,MATCH($C$6,Model!$A$2:$A$61,0)))</x:f>
        <x:v>1700000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3" customHeight="1">
      <x:c r="A25" s="2"/>
      <x:c r="B25" s="2" t="str">
        <x:v>Weekly wage GBP</x:v>
      </x:c>
      <x:c r="C25" s="17" t="n">
        <x:f>IF(COUNTIF(Model!$A$2:$A$61,$C$5)&lt;&gt;1,"",INDEX(Model!$F$2:$F$61,MATCH($C$5,Model!$A$2:$A$61,0)))</x:f>
        <x:v>10000</x:v>
      </x:c>
      <x:c r="D25" s="17" t="n">
        <x:f>IF(COUNTIF(Model!$A$2:$A$61,$C$6)&lt;&gt;1,"",INDEX(Model!$F$2:$F$61,MATCH($C$6,Model!$A$2:$A$61,0)))</x:f>
        <x:v>10000</x:v>
      </x:c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3" customHeight="1">
      <x:c r="A26" s="2"/>
      <x:c r="B26" s="2" t="str">
        <x:v>Commitment GBP</x:v>
      </x:c>
      <x:c r="C26" s="17" t="n">
        <x:f>IF(COUNTIF(Model!$A$2:$A$61,$C$5)&lt;&gt;1,"",INDEX(Model!$L$2:$L$61,MATCH($C$5,Model!$A$2:$A$61,0)))</x:f>
        <x:v>3460000</x:v>
      </x:c>
      <x:c r="D26" s="17" t="n">
        <x:f>IF(COUNTIF(Model!$A$2:$A$61,$C$6)&lt;&gt;1,"",INDEX(Model!$L$2:$L$61,MATCH($C$6,Model!$A$2:$A$61,0)))</x:f>
        <x:v>3260000</x:v>
      </x:c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3" customHeight="1">
      <x:c r="A28" s="2"/>
      <x:c r="B28" s="2" t="str">
        <x:v>Screen result</x:v>
      </x:c>
      <x:c r="C28" s="2" t="str">
        <x:f>IF(COUNTIF(Model!$A$2:$A$61,$C$5)&lt;&gt;1,"",INDEX(Model!$M$2:$M$61,MATCH($C$5,Model!$A$2:$A$61,0)))</x:f>
        <x:v>Eligible</x:v>
      </x:c>
      <x:c r="D28" s="2" t="str">
        <x:f>IF(COUNTIF(Model!$A$2:$A$61,$C$6)&lt;&gt;1,"",INDEX(Model!$M$2:$M$61,MATCH($C$6,Model!$A$2:$A$61,0)))</x:f>
        <x:v>Age limit</x:v>
      </x:c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3" customHeight="1">
      <x:c r="A31" s="2"/>
      <x:c r="B31" s="2" t="str">
        <x:v>A balanced score can conceal weaknesses. Inspect the attributes before choosing.</x:v>
      </x:c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3" customHeight="1">
      <x:c r="A33" s="2"/>
      <x:c r="B33" s="2" t="str">
        <x:v>The score applies the active position weights; the screen still checks actual position.</x:v>
      </x:c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3" customHeight="1">
      <x:c r="A35" s="2"/>
      <x:c r="B35" s="2" t="str">
        <x:v>Unknown data remains blank. Duplicated IDs cannot be compared.</x:v>
      </x:c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</x:sheetData>
  <x:dataValidations count="1">
    <x:dataValidation type="list" sqref="C5:C6">
      <x:formula1>Players!$A$2:$A$61</x:formula1>
    </x:dataValidation>
  </x:dataValidations>
  <x:pageMargins left="0.7" right="0.7" top="0.75" bottom="0.75" header="0.3" footer="0.3"/>
  <x:drawing xmlns:r="http://schemas.openxmlformats.org/officeDocument/2006/relationships" r:id="R8fb0f13bb9324729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18" hidden="0" customWidth="1"/>
    <x:col min="4" max="4" width="8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3" hidden="0" customWidth="1"/>
    <x:col min="11" max="11" width="18" hidden="0" customWidth="1"/>
    <x:col min="12" max="12" width="18" hidden="0" customWidth="1"/>
    <x:col min="13" max="13" width="22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13" t="str">
        <x:v>Player ID</x:v>
      </x:c>
      <x:c r="B1" s="13" t="str">
        <x:v>Player</x:v>
      </x:c>
      <x:c r="C1" s="13" t="str">
        <x:v>Position</x:v>
      </x:c>
      <x:c r="D1" s="13" t="str">
        <x:v>Age</x:v>
      </x:c>
      <x:c r="E1" s="13" t="str">
        <x:v>Fee high GBP</x:v>
      </x:c>
      <x:c r="F1" s="13" t="str">
        <x:v>Wage GBP/week</x:v>
      </x:c>
      <x:c r="G1" s="13" t="str">
        <x:v>Minutes</x:v>
      </x:c>
      <x:c r="H1" s="13" t="str">
        <x:v>Attributes count</x:v>
      </x:c>
      <x:c r="I1" s="13" t="str">
        <x:v>Duplicate count</x:v>
      </x:c>
      <x:c r="J1" s="13" t="str">
        <x:v>Data status</x:v>
      </x:c>
      <x:c r="K1" s="13" t="str">
        <x:v>Role score /100</x:v>
      </x:c>
      <x:c r="L1" s="13" t="str">
        <x:v>Commitment GBP</x:v>
      </x:c>
      <x:c r="M1" s="13" t="str">
        <x:v>Screen result</x:v>
      </x:c>
      <x:c r="N1" s="13" t="str">
        <x:v>Eligible rank</x:v>
      </x:c>
      <x:c r="O1" s="13" t="str">
        <x:v>Fee low GBP</x:v>
      </x:c>
      <x:c r="P1" s="13" t="str">
        <x:v>Dominated by</x:v>
      </x:c>
      <x:c r="Q1" s="13" t="str">
        <x:v>Cost / score frontier</x:v>
      </x:c>
    </x:row>
    <x:row r="2" ht="23" customHeight="1">
      <x:c r="A2" s="2" t="str">
        <x:f>IF(COUNTA(Players!A2:N2)&gt;0,IF(Players!A2="","",Players!A2),"")</x:f>
        <x:v>P001</x:v>
      </x:c>
      <x:c r="B2" s="2" t="str">
        <x:f>IF(COUNTA(Players!A2:N2)&gt;0,IF(Players!B2="","",Players!B2),"")</x:f>
        <x:v>Aiden Vale</x:v>
      </x:c>
      <x:c r="C2" s="2" t="str">
        <x:f>IF(COUNTA(Players!A2:N2)&gt;0,IF(Players!C2="","",Players!C2),"")</x:f>
        <x:v>Centre-back</x:v>
      </x:c>
      <x:c r="D2" s="2" t="n">
        <x:f>IF(COUNTA(Players!A2:N2)&gt;0,IF(Players!D2="","",Players!D2),"")</x:f>
        <x:v>19</x:v>
      </x:c>
      <x:c r="E2" s="17" t="n">
        <x:f>IF(COUNTA(Players!A2:N2)&gt;0,IF(Players!F2="","",Players!F2),"")</x:f>
        <x:v>1300000</x:v>
      </x:c>
      <x:c r="F2" s="17" t="n">
        <x:f>IF(COUNTA(Players!A2:N2)&gt;0,IF(Players!G2="","",Players!G2),"")</x:f>
        <x:v>7000</x:v>
      </x:c>
      <x:c r="G2" s="2" t="n">
        <x:f>IF(COUNTA(Players!A2:N2)&gt;0,IF(Players!H2="","",Players!H2),"")</x:f>
        <x:v>540</x:v>
      </x:c>
      <x:c r="H2" s="2" t="n">
        <x:f>IF(COUNTA(Players!A2:N2)&gt;0,COUNT(Players!I2:N2),"")</x:f>
        <x:v>6</x:v>
      </x:c>
      <x:c r="I2" s="2" t="n">
        <x:f>IF(COUNTA(Players!A2:N2)&gt;0,COUNTIF(Players!$A$2:$A$61,A2),"")</x:f>
        <x:v>1</x:v>
      </x:c>
      <x:c r="J2" s="2" t="str">
        <x:f>IF(NOT(COUNTA(Players!A2:N2)&gt;0),"",IF(OR(A2="",B2=""),"Missing identity",IF(I2&gt;1,"Duplicate ID",IF(OR(COUNT(Players!D2:H2)&lt;&gt;5,H2&lt;&gt;6),"Missing numeric data",IF(OR(D2&lt;15,D2&gt;50,O2&lt;0,E2&lt;O2,F2&lt;0,G2&lt;0,MIN(Players!I2:N2)&lt;1,MAX(Players!I2:N2)&gt;20,COUNTIF(Settings!$B$17:$B$20,C2)&lt;&gt;1),"Invalid input","OK")))))</x:f>
        <x:v>OK</x:v>
      </x:c>
      <x:c r="K2" s="19" t="n">
        <x:f>IF(AND(J2="OK",Settings!$E$24="OK",Settings!$C$14="OK"),SUMPRODUCT(Players!I2:N2,Settings!$C$22:$H$22)/20*100,"")</x:f>
        <x:v>61</x:v>
      </x:c>
      <x:c r="L2" s="17" t="n">
        <x:f>IF(J2="OK",E2+F2*Settings!$C$12*Settings!$C$11,"")</x:f>
        <x:v>2392000</x:v>
      </x:c>
      <x:c r="M2" s="2" t="str">
        <x:f>IF(J2="","",IF(J2&lt;&gt;"OK","Fix data",IF(Settings!$C$14&lt;&gt;"OK","Fix settings",IF(Settings!$E$24&lt;&gt;"OK","Fix weights",IF(C2&lt;&gt;Settings!$C$6,"Different position",IF(D2&gt;Settings!$C$9,"Age limit",IF(E2&gt;Settings!$C$7,"Fee limit",IF(F2&gt;Settings!$C$8,"Wage limit",IF(G2&lt;Settings!$C$10,"Minutes limit","Eligible")))))))))</x:f>
        <x:v>Different position</x:v>
      </x:c>
      <x:c r="N2" s="2" t="str">
        <x:f>IF(M2="Eligible",COUNTIFS($M$2:$M$61,"Eligible",$K$2:$K$61,"&gt;"&amp;K2)+COUNTIFS($M$2:M2,"Eligible",$K$2:K2,K2),"")</x:f>
      </x:c>
      <x:c r="O2" s="17" t="n">
        <x:f>IF(COUNTA(Players!A2:N2)&gt;0,IF(Players!E2="","",Players!E2),"")</x:f>
        <x:v>800000</x:v>
      </x:c>
      <x:c r="P2" s="2" t="str">
        <x:f>IF(M2&lt;&gt;"Eligible","",COUNTIFS($M$2:$M$61,"Eligible",$K$2:$K$61,"&gt;"&amp;K2,$L$2:$L$61,"&lt;="&amp;L2)+COUNTIFS($M$2:$M$61,"Eligible",$K$2:$K$61,K2,$L$2:$L$61,"&lt;"&amp;L2))</x:f>
      </x:c>
      <x:c r="Q2" s="2" t="str">
        <x:f>IF(M2&lt;&gt;"Eligible","",IF(P2=0,"Frontier","Dominated"))</x:f>
      </x:c>
    </x:row>
    <x:row r="3" ht="23" customHeight="1">
      <x:c r="A3" s="2" t="str">
        <x:f>IF(COUNTA(Players!A3:N3)&gt;0,IF(Players!A3="","",Players!A3),"")</x:f>
        <x:v>P002</x:v>
      </x:c>
      <x:c r="B3" s="2" t="str">
        <x:f>IF(COUNTA(Players!A3:N3)&gt;0,IF(Players!B3="","",Players!B3),"")</x:f>
        <x:v>Marco Linden</x:v>
      </x:c>
      <x:c r="C3" s="2" t="str">
        <x:f>IF(COUNTA(Players!A3:N3)&gt;0,IF(Players!C3="","",Players!C3),"")</x:f>
        <x:v>Midfielder</x:v>
      </x:c>
      <x:c r="D3" s="2" t="n">
        <x:f>IF(COUNTA(Players!A3:N3)&gt;0,IF(Players!D3="","",Players!D3),"")</x:f>
        <x:v>20</x:v>
      </x:c>
      <x:c r="E3" s="17" t="n">
        <x:f>IF(COUNTA(Players!A3:N3)&gt;0,IF(Players!F3="","",Players!F3),"")</x:f>
        <x:v>1900000</x:v>
      </x:c>
      <x:c r="F3" s="17" t="n">
        <x:f>IF(COUNTA(Players!A3:N3)&gt;0,IF(Players!G3="","",Players!G3),"")</x:f>
        <x:v>10000</x:v>
      </x:c>
      <x:c r="G3" s="2" t="n">
        <x:f>IF(COUNTA(Players!A3:N3)&gt;0,IF(Players!H3="","",Players!H3),"")</x:f>
        <x:v>900</x:v>
      </x:c>
      <x:c r="H3" s="2" t="n">
        <x:f>IF(COUNTA(Players!A3:N3)&gt;0,COUNT(Players!I3:N3),"")</x:f>
        <x:v>6</x:v>
      </x:c>
      <x:c r="I3" s="2" t="n">
        <x:f>IF(COUNTA(Players!A3:N3)&gt;0,COUNTIF(Players!$A$2:$A$61,A3),"")</x:f>
        <x:v>1</x:v>
      </x:c>
      <x:c r="J3" s="2" t="str">
        <x:f>IF(NOT(COUNTA(Players!A3:N3)&gt;0),"",IF(OR(A3="",B3=""),"Missing identity",IF(I3&gt;1,"Duplicate ID",IF(OR(COUNT(Players!D3:H3)&lt;&gt;5,H3&lt;&gt;6),"Missing numeric data",IF(OR(D3&lt;15,D3&gt;50,O3&lt;0,E3&lt;O3,F3&lt;0,G3&lt;0,MIN(Players!I3:N3)&lt;1,MAX(Players!I3:N3)&gt;20,COUNTIF(Settings!$B$17:$B$20,C3)&lt;&gt;1),"Invalid input","OK")))))</x:f>
        <x:v>OK</x:v>
      </x:c>
      <x:c r="K3" s="19" t="n">
        <x:f>IF(AND(J3="OK",Settings!$E$24="OK",Settings!$C$14="OK"),SUMPRODUCT(Players!I3:N3,Settings!$C$22:$H$22)/20*100,"")</x:f>
        <x:v>73.50000000000001</x:v>
      </x:c>
      <x:c r="L3" s="17" t="n">
        <x:f>IF(J3="OK",E3+F3*Settings!$C$12*Settings!$C$11,"")</x:f>
        <x:v>3460000</x:v>
      </x:c>
      <x:c r="M3" s="2" t="str">
        <x:f>IF(J3="","",IF(J3&lt;&gt;"OK","Fix data",IF(Settings!$C$14&lt;&gt;"OK","Fix settings",IF(Settings!$E$24&lt;&gt;"OK","Fix weights",IF(C3&lt;&gt;Settings!$C$6,"Different position",IF(D3&gt;Settings!$C$9,"Age limit",IF(E3&gt;Settings!$C$7,"Fee limit",IF(F3&gt;Settings!$C$8,"Wage limit",IF(G3&lt;Settings!$C$10,"Minutes limit","Eligible")))))))))</x:f>
        <x:v>Eligible</x:v>
      </x:c>
      <x:c r="N3" s="2" t="n">
        <x:f>IF(M3="Eligible",COUNTIFS($M$2:$M$61,"Eligible",$K$2:$K$61,"&gt;"&amp;K3)+COUNTIFS($M$2:M3,"Eligible",$K$2:K3,K3),"")</x:f>
        <x:v>2</x:v>
      </x:c>
      <x:c r="O3" s="17" t="n">
        <x:f>IF(COUNTA(Players!A3:N3)&gt;0,IF(Players!E3="","",Players!E3),"")</x:f>
        <x:v>1200000</x:v>
      </x:c>
      <x:c r="P3" s="2" t="n">
        <x:f>IF(M3&lt;&gt;"Eligible","",COUNTIFS($M$2:$M$61,"Eligible",$K$2:$K$61,"&gt;"&amp;K3,$L$2:$L$61,"&lt;="&amp;L3)+COUNTIFS($M$2:$M$61,"Eligible",$K$2:$K$61,K3,$L$2:$L$61,"&lt;"&amp;L3))</x:f>
        <x:v>0</x:v>
      </x:c>
      <x:c r="Q3" s="2" t="str">
        <x:f>IF(M3&lt;&gt;"Eligible","",IF(P3=0,"Frontier","Dominated"))</x:f>
        <x:v>Frontier</x:v>
      </x:c>
    </x:row>
    <x:row r="4" ht="23" customHeight="1">
      <x:c r="A4" s="2" t="str">
        <x:f>IF(COUNTA(Players!A4:N4)&gt;0,IF(Players!A4="","",Players!A4),"")</x:f>
        <x:v>P003</x:v>
      </x:c>
      <x:c r="B4" s="2" t="str">
        <x:f>IF(COUNTA(Players!A4:N4)&gt;0,IF(Players!B4="","",Players!B4),"")</x:f>
        <x:v>Elias North</x:v>
      </x:c>
      <x:c r="C4" s="2" t="str">
        <x:f>IF(COUNTA(Players!A4:N4)&gt;0,IF(Players!C4="","",Players!C4),"")</x:f>
        <x:v>Striker</x:v>
      </x:c>
      <x:c r="D4" s="2" t="n">
        <x:f>IF(COUNTA(Players!A4:N4)&gt;0,IF(Players!D4="","",Players!D4),"")</x:f>
        <x:v>21</x:v>
      </x:c>
      <x:c r="E4" s="17" t="n">
        <x:f>IF(COUNTA(Players!A4:N4)&gt;0,IF(Players!F4="","",Players!F4),"")</x:f>
        <x:v>2500000</x:v>
      </x:c>
      <x:c r="F4" s="17" t="n">
        <x:f>IF(COUNTA(Players!A4:N4)&gt;0,IF(Players!G4="","",Players!G4),"")</x:f>
        <x:v>13000</x:v>
      </x:c>
      <x:c r="G4" s="2" t="n">
        <x:f>IF(COUNTA(Players!A4:N4)&gt;0,IF(Players!H4="","",Players!H4),"")</x:f>
        <x:v>1260</x:v>
      </x:c>
      <x:c r="H4" s="2" t="n">
        <x:f>IF(COUNTA(Players!A4:N4)&gt;0,COUNT(Players!I4:N4),"")</x:f>
        <x:v>6</x:v>
      </x:c>
      <x:c r="I4" s="2" t="n">
        <x:f>IF(COUNTA(Players!A4:N4)&gt;0,COUNTIF(Players!$A$2:$A$61,A4),"")</x:f>
        <x:v>1</x:v>
      </x:c>
      <x:c r="J4" s="2" t="str">
        <x:f>IF(NOT(COUNTA(Players!A4:N4)&gt;0),"",IF(OR(A4="",B4=""),"Missing identity",IF(I4&gt;1,"Duplicate ID",IF(OR(COUNT(Players!D4:H4)&lt;&gt;5,H4&lt;&gt;6),"Missing numeric data",IF(OR(D4&lt;15,D4&gt;50,O4&lt;0,E4&lt;O4,F4&lt;0,G4&lt;0,MIN(Players!I4:N4)&lt;1,MAX(Players!I4:N4)&gt;20,COUNTIF(Settings!$B$17:$B$20,C4)&lt;&gt;1),"Invalid input","OK")))))</x:f>
        <x:v>OK</x:v>
      </x:c>
      <x:c r="K4" s="19" t="n">
        <x:f>IF(AND(J4="OK",Settings!$E$24="OK",Settings!$C$14="OK"),SUMPRODUCT(Players!I4:N4,Settings!$C$22:$H$22)/20*100,"")</x:f>
        <x:v>78.5</x:v>
      </x:c>
      <x:c r="L4" s="17" t="n">
        <x:f>IF(J4="OK",E4+F4*Settings!$C$12*Settings!$C$11,"")</x:f>
        <x:v>4528000</x:v>
      </x:c>
      <x:c r="M4" s="2" t="str">
        <x:f>IF(J4="","",IF(J4&lt;&gt;"OK","Fix data",IF(Settings!$C$14&lt;&gt;"OK","Fix settings",IF(Settings!$E$24&lt;&gt;"OK","Fix weights",IF(C4&lt;&gt;Settings!$C$6,"Different position",IF(D4&gt;Settings!$C$9,"Age limit",IF(E4&gt;Settings!$C$7,"Fee limit",IF(F4&gt;Settings!$C$8,"Wage limit",IF(G4&lt;Settings!$C$10,"Minutes limit","Eligible")))))))))</x:f>
        <x:v>Different position</x:v>
      </x:c>
      <x:c r="N4" s="2" t="str">
        <x:f>IF(M4="Eligible",COUNTIFS($M$2:$M$61,"Eligible",$K$2:$K$61,"&gt;"&amp;K4)+COUNTIFS($M$2:M4,"Eligible",$K$2:K4,K4),"")</x:f>
      </x:c>
      <x:c r="O4" s="17" t="n">
        <x:f>IF(COUNTA(Players!A4:N4)&gt;0,IF(Players!E4="","",Players!E4),"")</x:f>
        <x:v>1600000</x:v>
      </x:c>
      <x:c r="P4" s="2" t="str">
        <x:f>IF(M4&lt;&gt;"Eligible","",COUNTIFS($M$2:$M$61,"Eligible",$K$2:$K$61,"&gt;"&amp;K4,$L$2:$L$61,"&lt;="&amp;L4)+COUNTIFS($M$2:$M$61,"Eligible",$K$2:$K$61,K4,$L$2:$L$61,"&lt;"&amp;L4))</x:f>
      </x:c>
      <x:c r="Q4" s="2" t="str">
        <x:f>IF(M4&lt;&gt;"Eligible","",IF(P4=0,"Frontier","Dominated"))</x:f>
      </x:c>
    </x:row>
    <x:row r="5" ht="23" customHeight="1">
      <x:c r="A5" s="2" t="str">
        <x:f>IF(COUNTA(Players!A5:N5)&gt;0,IF(Players!A5="","",Players!A5),"")</x:f>
        <x:v>P004</x:v>
      </x:c>
      <x:c r="B5" s="2" t="str">
        <x:f>IF(COUNTA(Players!A5:N5)&gt;0,IF(Players!B5="","",Players!B5),"")</x:f>
        <x:v>Leo Mercer</x:v>
      </x:c>
      <x:c r="C5" s="2" t="str">
        <x:f>IF(COUNTA(Players!A5:N5)&gt;0,IF(Players!C5="","",Players!C5),"")</x:f>
        <x:v>Wide forward</x:v>
      </x:c>
      <x:c r="D5" s="2" t="n">
        <x:f>IF(COUNTA(Players!A5:N5)&gt;0,IF(Players!D5="","",Players!D5),"")</x:f>
        <x:v>22</x:v>
      </x:c>
      <x:c r="E5" s="17" t="n">
        <x:f>IF(COUNTA(Players!A5:N5)&gt;0,IF(Players!F5="","",Players!F5),"")</x:f>
        <x:v>2500000</x:v>
      </x:c>
      <x:c r="F5" s="17" t="n">
        <x:f>IF(COUNTA(Players!A5:N5)&gt;0,IF(Players!G5="","",Players!G5),"")</x:f>
        <x:v>16000</x:v>
      </x:c>
      <x:c r="G5" s="2" t="n">
        <x:f>IF(COUNTA(Players!A5:N5)&gt;0,IF(Players!H5="","",Players!H5),"")</x:f>
        <x:v>1620</x:v>
      </x:c>
      <x:c r="H5" s="2" t="n">
        <x:f>IF(COUNTA(Players!A5:N5)&gt;0,COUNT(Players!I5:N5),"")</x:f>
        <x:v>6</x:v>
      </x:c>
      <x:c r="I5" s="2" t="n">
        <x:f>IF(COUNTA(Players!A5:N5)&gt;0,COUNTIF(Players!$A$2:$A$61,A5),"")</x:f>
        <x:v>1</x:v>
      </x:c>
      <x:c r="J5" s="2" t="str">
        <x:f>IF(NOT(COUNTA(Players!A5:N5)&gt;0),"",IF(OR(A5="",B5=""),"Missing identity",IF(I5&gt;1,"Duplicate ID",IF(OR(COUNT(Players!D5:H5)&lt;&gt;5,H5&lt;&gt;6),"Missing numeric data",IF(OR(D5&lt;15,D5&gt;50,O5&lt;0,E5&lt;O5,F5&lt;0,G5&lt;0,MIN(Players!I5:N5)&lt;1,MAX(Players!I5:N5)&gt;20,COUNTIF(Settings!$B$17:$B$20,C5)&lt;&gt;1),"Invalid input","OK")))))</x:f>
        <x:v>OK</x:v>
      </x:c>
      <x:c r="K5" s="19" t="n">
        <x:f>IF(AND(J5="OK",Settings!$E$24="OK",Settings!$C$14="OK"),SUMPRODUCT(Players!I5:N5,Settings!$C$22:$H$22)/20*100,"")</x:f>
        <x:v>62.000000000000014</x:v>
      </x:c>
      <x:c r="L5" s="17" t="n">
        <x:f>IF(J5="OK",E5+F5*Settings!$C$12*Settings!$C$11,"")</x:f>
        <x:v>4996000</x:v>
      </x:c>
      <x:c r="M5" s="2" t="str">
        <x:f>IF(J5="","",IF(J5&lt;&gt;"OK","Fix data",IF(Settings!$C$14&lt;&gt;"OK","Fix settings",IF(Settings!$E$24&lt;&gt;"OK","Fix weights",IF(C5&lt;&gt;Settings!$C$6,"Different position",IF(D5&gt;Settings!$C$9,"Age limit",IF(E5&gt;Settings!$C$7,"Fee limit",IF(F5&gt;Settings!$C$8,"Wage limit",IF(G5&lt;Settings!$C$10,"Minutes limit","Eligible")))))))))</x:f>
        <x:v>Different position</x:v>
      </x:c>
      <x:c r="N5" s="2" t="str">
        <x:f>IF(M5="Eligible",COUNTIFS($M$2:$M$61,"Eligible",$K$2:$K$61,"&gt;"&amp;K5)+COUNTIFS($M$2:M5,"Eligible",$K$2:K5,K5),"")</x:f>
      </x:c>
      <x:c r="O5" s="17" t="n">
        <x:f>IF(COUNTA(Players!A5:N5)&gt;0,IF(Players!E5="","",Players!E5),"")</x:f>
        <x:v>2000000</x:v>
      </x:c>
      <x:c r="P5" s="2" t="str">
        <x:f>IF(M5&lt;&gt;"Eligible","",COUNTIFS($M$2:$M$61,"Eligible",$K$2:$K$61,"&gt;"&amp;K5,$L$2:$L$61,"&lt;="&amp;L5)+COUNTIFS($M$2:$M$61,"Eligible",$K$2:$K$61,K5,$L$2:$L$61,"&lt;"&amp;L5))</x:f>
      </x:c>
      <x:c r="Q5" s="2" t="str">
        <x:f>IF(M5&lt;&gt;"Eligible","",IF(P5=0,"Frontier","Dominated"))</x:f>
      </x:c>
    </x:row>
    <x:row r="6" ht="23" customHeight="1">
      <x:c r="A6" s="2" t="str">
        <x:f>IF(COUNTA(Players!A6:N6)&gt;0,IF(Players!A6="","",Players!A6),"")</x:f>
        <x:v>P005</x:v>
      </x:c>
      <x:c r="B6" s="2" t="str">
        <x:f>IF(COUNTA(Players!A6:N6)&gt;0,IF(Players!B6="","",Players!B6),"")</x:f>
        <x:v>Ruben Ash</x:v>
      </x:c>
      <x:c r="C6" s="2" t="str">
        <x:f>IF(COUNTA(Players!A6:N6)&gt;0,IF(Players!C6="","",Players!C6),"")</x:f>
        <x:v>Centre-back</x:v>
      </x:c>
      <x:c r="D6" s="2" t="n">
        <x:f>IF(COUNTA(Players!A6:N6)&gt;0,IF(Players!D6="","",Players!D6),"")</x:f>
        <x:v>23</x:v>
      </x:c>
      <x:c r="E6" s="17" t="n">
        <x:f>IF(COUNTA(Players!A6:N6)&gt;0,IF(Players!F6="","",Players!F6),"")</x:f>
        <x:v>3100000</x:v>
      </x:c>
      <x:c r="F6" s="17" t="n">
        <x:f>IF(COUNTA(Players!A6:N6)&gt;0,IF(Players!G6="","",Players!G6),"")</x:f>
        <x:v>19000</x:v>
      </x:c>
      <x:c r="G6" s="2" t="n">
        <x:f>IF(COUNTA(Players!A6:N6)&gt;0,IF(Players!H6="","",Players!H6),"")</x:f>
        <x:v>1980</x:v>
      </x:c>
      <x:c r="H6" s="2" t="n">
        <x:f>IF(COUNTA(Players!A6:N6)&gt;0,COUNT(Players!I6:N6),"")</x:f>
        <x:v>6</x:v>
      </x:c>
      <x:c r="I6" s="2" t="n">
        <x:f>IF(COUNTA(Players!A6:N6)&gt;0,COUNTIF(Players!$A$2:$A$61,A6),"")</x:f>
        <x:v>1</x:v>
      </x:c>
      <x:c r="J6" s="2" t="str">
        <x:f>IF(NOT(COUNTA(Players!A6:N6)&gt;0),"",IF(OR(A6="",B6=""),"Missing identity",IF(I6&gt;1,"Duplicate ID",IF(OR(COUNT(Players!D6:H6)&lt;&gt;5,H6&lt;&gt;6),"Missing numeric data",IF(OR(D6&lt;15,D6&gt;50,O6&lt;0,E6&lt;O6,F6&lt;0,G6&lt;0,MIN(Players!I6:N6)&lt;1,MAX(Players!I6:N6)&gt;20,COUNTIF(Settings!$B$17:$B$20,C6)&lt;&gt;1),"Invalid input","OK")))))</x:f>
        <x:v>OK</x:v>
      </x:c>
      <x:c r="K6" s="19" t="n">
        <x:f>IF(AND(J6="OK",Settings!$E$24="OK",Settings!$C$14="OK"),SUMPRODUCT(Players!I6:N6,Settings!$C$22:$H$22)/20*100,"")</x:f>
        <x:v>69.5</x:v>
      </x:c>
      <x:c r="L6" s="17" t="n">
        <x:f>IF(J6="OK",E6+F6*Settings!$C$12*Settings!$C$11,"")</x:f>
        <x:v>6064000</x:v>
      </x:c>
      <x:c r="M6" s="2" t="str">
        <x:f>IF(J6="","",IF(J6&lt;&gt;"OK","Fix data",IF(Settings!$C$14&lt;&gt;"OK","Fix settings",IF(Settings!$E$24&lt;&gt;"OK","Fix weights",IF(C6&lt;&gt;Settings!$C$6,"Different position",IF(D6&gt;Settings!$C$9,"Age limit",IF(E6&gt;Settings!$C$7,"Fee limit",IF(F6&gt;Settings!$C$8,"Wage limit",IF(G6&lt;Settings!$C$10,"Minutes limit","Eligible")))))))))</x:f>
        <x:v>Different position</x:v>
      </x:c>
      <x:c r="N6" s="2" t="str">
        <x:f>IF(M6="Eligible",COUNTIFS($M$2:$M$61,"Eligible",$K$2:$K$61,"&gt;"&amp;K6)+COUNTIFS($M$2:M6,"Eligible",$K$2:K6,K6),"")</x:f>
      </x:c>
      <x:c r="O6" s="17" t="n">
        <x:f>IF(COUNTA(Players!A6:N6)&gt;0,IF(Players!E6="","",Players!E6),"")</x:f>
        <x:v>2400000</x:v>
      </x:c>
      <x:c r="P6" s="2" t="str">
        <x:f>IF(M6&lt;&gt;"Eligible","",COUNTIFS($M$2:$M$61,"Eligible",$K$2:$K$61,"&gt;"&amp;K6,$L$2:$L$61,"&lt;="&amp;L6)+COUNTIFS($M$2:$M$61,"Eligible",$K$2:$K$61,K6,$L$2:$L$61,"&lt;"&amp;L6))</x:f>
      </x:c>
      <x:c r="Q6" s="2" t="str">
        <x:f>IF(M6&lt;&gt;"Eligible","",IF(P6=0,"Frontier","Dominated"))</x:f>
      </x:c>
    </x:row>
    <x:row r="7" ht="23" customHeight="1">
      <x:c r="A7" s="2" t="str">
        <x:f>IF(COUNTA(Players!A7:N7)&gt;0,IF(Players!A7="","",Players!A7),"")</x:f>
        <x:v>P006</x:v>
      </x:c>
      <x:c r="B7" s="2" t="str">
        <x:f>IF(COUNTA(Players!A7:N7)&gt;0,IF(Players!B7="","",Players!B7),"")</x:f>
        <x:v>Tomas Reed</x:v>
      </x:c>
      <x:c r="C7" s="2" t="str">
        <x:f>IF(COUNTA(Players!A7:N7)&gt;0,IF(Players!C7="","",Players!C7),"")</x:f>
        <x:v>Midfielder</x:v>
      </x:c>
      <x:c r="D7" s="2" t="n">
        <x:f>IF(COUNTA(Players!A7:N7)&gt;0,IF(Players!D7="","",Players!D7),"")</x:f>
        <x:v>24</x:v>
      </x:c>
      <x:c r="E7" s="17" t="n">
        <x:f>IF(COUNTA(Players!A7:N7)&gt;0,IF(Players!F7="","",Players!F7),"")</x:f>
        <x:v>3700000</x:v>
      </x:c>
      <x:c r="F7" s="17" t="n">
        <x:f>IF(COUNTA(Players!A7:N7)&gt;0,IF(Players!G7="","",Players!G7),"")</x:f>
        <x:v>22000</x:v>
      </x:c>
      <x:c r="G7" s="2" t="n">
        <x:f>IF(COUNTA(Players!A7:N7)&gt;0,IF(Players!H7="","",Players!H7),"")</x:f>
        <x:v>2340</x:v>
      </x:c>
      <x:c r="H7" s="2" t="n">
        <x:f>IF(COUNTA(Players!A7:N7)&gt;0,COUNT(Players!I7:N7),"")</x:f>
        <x:v>6</x:v>
      </x:c>
      <x:c r="I7" s="2" t="n">
        <x:f>IF(COUNTA(Players!A7:N7)&gt;0,COUNTIF(Players!$A$2:$A$61,A7),"")</x:f>
        <x:v>1</x:v>
      </x:c>
      <x:c r="J7" s="2" t="str">
        <x:f>IF(NOT(COUNTA(Players!A7:N7)&gt;0),"",IF(OR(A7="",B7=""),"Missing identity",IF(I7&gt;1,"Duplicate ID",IF(OR(COUNT(Players!D7:H7)&lt;&gt;5,H7&lt;&gt;6),"Missing numeric data",IF(OR(D7&lt;15,D7&gt;50,O7&lt;0,E7&lt;O7,F7&lt;0,G7&lt;0,MIN(Players!I7:N7)&lt;1,MAX(Players!I7:N7)&gt;20,COUNTIF(Settings!$B$17:$B$20,C7)&lt;&gt;1),"Invalid input","OK")))))</x:f>
        <x:v>OK</x:v>
      </x:c>
      <x:c r="K7" s="19" t="n">
        <x:f>IF(AND(J7="OK",Settings!$E$24="OK",Settings!$C$14="OK"),SUMPRODUCT(Players!I7:N7,Settings!$C$22:$H$22)/20*100,"")</x:f>
        <x:v>56.50000000000001</x:v>
      </x:c>
      <x:c r="L7" s="17" t="n">
        <x:f>IF(J7="OK",E7+F7*Settings!$C$12*Settings!$C$11,"")</x:f>
        <x:v>7132000</x:v>
      </x:c>
      <x:c r="M7" s="2" t="str">
        <x:f>IF(J7="","",IF(J7&lt;&gt;"OK","Fix data",IF(Settings!$C$14&lt;&gt;"OK","Fix settings",IF(Settings!$E$24&lt;&gt;"OK","Fix weights",IF(C7&lt;&gt;Settings!$C$6,"Different position",IF(D7&gt;Settings!$C$9,"Age limit",IF(E7&gt;Settings!$C$7,"Fee limit",IF(F7&gt;Settings!$C$8,"Wage limit",IF(G7&lt;Settings!$C$10,"Minutes limit","Eligible")))))))))</x:f>
        <x:v>Eligible</x:v>
      </x:c>
      <x:c r="N7" s="2" t="n">
        <x:f>IF(M7="Eligible",COUNTIFS($M$2:$M$61,"Eligible",$K$2:$K$61,"&gt;"&amp;K7)+COUNTIFS($M$2:M7,"Eligible",$K$2:K7,K7),"")</x:f>
        <x:v>6</x:v>
      </x:c>
      <x:c r="O7" s="17" t="n">
        <x:f>IF(COUNTA(Players!A7:N7)&gt;0,IF(Players!E7="","",Players!E7),"")</x:f>
        <x:v>2800000</x:v>
      </x:c>
      <x:c r="P7" s="2" t="n">
        <x:f>IF(M7&lt;&gt;"Eligible","",COUNTIFS($M$2:$M$61,"Eligible",$K$2:$K$61,"&gt;"&amp;K7,$L$2:$L$61,"&lt;="&amp;L7)+COUNTIFS($M$2:$M$61,"Eligible",$K$2:$K$61,K7,$L$2:$L$61,"&lt;"&amp;L7))</x:f>
        <x:v>5</x:v>
      </x:c>
      <x:c r="Q7" s="2" t="str">
        <x:f>IF(M7&lt;&gt;"Eligible","",IF(P7=0,"Frontier","Dominated"))</x:f>
        <x:v>Dominated</x:v>
      </x:c>
    </x:row>
    <x:row r="8" ht="23" customHeight="1">
      <x:c r="A8" s="2" t="str">
        <x:f>IF(COUNTA(Players!A8:N8)&gt;0,IF(Players!A8="","",Players!A8),"")</x:f>
        <x:v>P007</x:v>
      </x:c>
      <x:c r="B8" s="2" t="str">
        <x:f>IF(COUNTA(Players!A8:N8)&gt;0,IF(Players!B8="","",Players!B8),"")</x:f>
        <x:v>Theo Marin</x:v>
      </x:c>
      <x:c r="C8" s="2" t="str">
        <x:f>IF(COUNTA(Players!A8:N8)&gt;0,IF(Players!C8="","",Players!C8),"")</x:f>
        <x:v>Striker</x:v>
      </x:c>
      <x:c r="D8" s="2" t="n">
        <x:f>IF(COUNTA(Players!A8:N8)&gt;0,IF(Players!D8="","",Players!D8),"")</x:f>
        <x:v>25</x:v>
      </x:c>
      <x:c r="E8" s="17" t="n">
        <x:f>IF(COUNTA(Players!A8:N8)&gt;0,IF(Players!F8="","",Players!F8),"")</x:f>
        <x:v>3700000</x:v>
      </x:c>
      <x:c r="F8" s="17" t="n">
        <x:f>IF(COUNTA(Players!A8:N8)&gt;0,IF(Players!G8="","",Players!G8),"")</x:f>
        <x:v>25000</x:v>
      </x:c>
      <x:c r="G8" s="2" t="n">
        <x:f>IF(COUNTA(Players!A8:N8)&gt;0,IF(Players!H8="","",Players!H8),"")</x:f>
        <x:v>2700</x:v>
      </x:c>
      <x:c r="H8" s="2" t="n">
        <x:f>IF(COUNTA(Players!A8:N8)&gt;0,COUNT(Players!I8:N8),"")</x:f>
        <x:v>6</x:v>
      </x:c>
      <x:c r="I8" s="2" t="n">
        <x:f>IF(COUNTA(Players!A8:N8)&gt;0,COUNTIF(Players!$A$2:$A$61,A8),"")</x:f>
        <x:v>1</x:v>
      </x:c>
      <x:c r="J8" s="2" t="str">
        <x:f>IF(NOT(COUNTA(Players!A8:N8)&gt;0),"",IF(OR(A8="",B8=""),"Missing identity",IF(I8&gt;1,"Duplicate ID",IF(OR(COUNT(Players!D8:H8)&lt;&gt;5,H8&lt;&gt;6),"Missing numeric data",IF(OR(D8&lt;15,D8&gt;50,O8&lt;0,E8&lt;O8,F8&lt;0,G8&lt;0,MIN(Players!I8:N8)&lt;1,MAX(Players!I8:N8)&gt;20,COUNTIF(Settings!$B$17:$B$20,C8)&lt;&gt;1),"Invalid input","OK")))))</x:f>
        <x:v>OK</x:v>
      </x:c>
      <x:c r="K8" s="19" t="n">
        <x:f>IF(AND(J8="OK",Settings!$E$24="OK",Settings!$C$14="OK"),SUMPRODUCT(Players!I8:N8,Settings!$C$22:$H$22)/20*100,"")</x:f>
        <x:v>65.25000000000001</x:v>
      </x:c>
      <x:c r="L8" s="17" t="n">
        <x:f>IF(J8="OK",E8+F8*Settings!$C$12*Settings!$C$11,"")</x:f>
        <x:v>7600000</x:v>
      </x:c>
      <x:c r="M8" s="2" t="str">
        <x:f>IF(J8="","",IF(J8&lt;&gt;"OK","Fix data",IF(Settings!$C$14&lt;&gt;"OK","Fix settings",IF(Settings!$E$24&lt;&gt;"OK","Fix weights",IF(C8&lt;&gt;Settings!$C$6,"Different position",IF(D8&gt;Settings!$C$9,"Age limit",IF(E8&gt;Settings!$C$7,"Fee limit",IF(F8&gt;Settings!$C$8,"Wage limit",IF(G8&lt;Settings!$C$10,"Minutes limit","Eligible")))))))))</x:f>
        <x:v>Different position</x:v>
      </x:c>
      <x:c r="N8" s="2" t="str">
        <x:f>IF(M8="Eligible",COUNTIFS($M$2:$M$61,"Eligible",$K$2:$K$61,"&gt;"&amp;K8)+COUNTIFS($M$2:M8,"Eligible",$K$2:K8,K8),"")</x:f>
      </x:c>
      <x:c r="O8" s="17" t="n">
        <x:f>IF(COUNTA(Players!A8:N8)&gt;0,IF(Players!E8="","",Players!E8),"")</x:f>
        <x:v>3200000</x:v>
      </x:c>
      <x:c r="P8" s="2" t="str">
        <x:f>IF(M8&lt;&gt;"Eligible","",COUNTIFS($M$2:$M$61,"Eligible",$K$2:$K$61,"&gt;"&amp;K8,$L$2:$L$61,"&lt;="&amp;L8)+COUNTIFS($M$2:$M$61,"Eligible",$K$2:$K$61,K8,$L$2:$L$61,"&lt;"&amp;L8))</x:f>
      </x:c>
      <x:c r="Q8" s="2" t="str">
        <x:f>IF(M8&lt;&gt;"Eligible","",IF(P8=0,"Frontier","Dominated"))</x:f>
      </x:c>
    </x:row>
    <x:row r="9" ht="23" customHeight="1">
      <x:c r="A9" s="2" t="str">
        <x:f>IF(COUNTA(Players!A9:N9)&gt;0,IF(Players!A9="","",Players!A9),"")</x:f>
        <x:v>P008</x:v>
      </x:c>
      <x:c r="B9" s="2" t="str">
        <x:f>IF(COUNTA(Players!A9:N9)&gt;0,IF(Players!B9="","",Players!B9),"")</x:f>
        <x:v>Noah Calder</x:v>
      </x:c>
      <x:c r="C9" s="2" t="str">
        <x:f>IF(COUNTA(Players!A9:N9)&gt;0,IF(Players!C9="","",Players!C9),"")</x:f>
        <x:v>Wide forward</x:v>
      </x:c>
      <x:c r="D9" s="2" t="n">
        <x:f>IF(COUNTA(Players!A9:N9)&gt;0,IF(Players!D9="","",Players!D9),"")</x:f>
        <x:v>26</x:v>
      </x:c>
      <x:c r="E9" s="17" t="n">
        <x:f>IF(COUNTA(Players!A9:N9)&gt;0,IF(Players!F9="","",Players!F9),"")</x:f>
        <x:v>4300000</x:v>
      </x:c>
      <x:c r="F9" s="17" t="n">
        <x:f>IF(COUNTA(Players!A9:N9)&gt;0,IF(Players!G9="","",Players!G9),"")</x:f>
        <x:v>28000</x:v>
      </x:c>
      <x:c r="G9" s="2" t="n">
        <x:f>IF(COUNTA(Players!A9:N9)&gt;0,IF(Players!H9="","",Players!H9),"")</x:f>
        <x:v>540</x:v>
      </x:c>
      <x:c r="H9" s="2" t="n">
        <x:f>IF(COUNTA(Players!A9:N9)&gt;0,COUNT(Players!I9:N9),"")</x:f>
        <x:v>6</x:v>
      </x:c>
      <x:c r="I9" s="2" t="n">
        <x:f>IF(COUNTA(Players!A9:N9)&gt;0,COUNTIF(Players!$A$2:$A$61,A9),"")</x:f>
        <x:v>1</x:v>
      </x:c>
      <x:c r="J9" s="2" t="str">
        <x:f>IF(NOT(COUNTA(Players!A9:N9)&gt;0),"",IF(OR(A9="",B9=""),"Missing identity",IF(I9&gt;1,"Duplicate ID",IF(OR(COUNT(Players!D9:H9)&lt;&gt;5,H9&lt;&gt;6),"Missing numeric data",IF(OR(D9&lt;15,D9&gt;50,O9&lt;0,E9&lt;O9,F9&lt;0,G9&lt;0,MIN(Players!I9:N9)&lt;1,MAX(Players!I9:N9)&gt;20,COUNTIF(Settings!$B$17:$B$20,C9)&lt;&gt;1),"Invalid input","OK")))))</x:f>
        <x:v>OK</x:v>
      </x:c>
      <x:c r="K9" s="19" t="n">
        <x:f>IF(AND(J9="OK",Settings!$E$24="OK",Settings!$C$14="OK"),SUMPRODUCT(Players!I9:N9,Settings!$C$22:$H$22)/20*100,"")</x:f>
        <x:v>66</x:v>
      </x:c>
      <x:c r="L9" s="17" t="n">
        <x:f>IF(J9="OK",E9+F9*Settings!$C$12*Settings!$C$11,"")</x:f>
        <x:v>8668000</x:v>
      </x:c>
      <x:c r="M9" s="2" t="str">
        <x:f>IF(J9="","",IF(J9&lt;&gt;"OK","Fix data",IF(Settings!$C$14&lt;&gt;"OK","Fix settings",IF(Settings!$E$24&lt;&gt;"OK","Fix weights",IF(C9&lt;&gt;Settings!$C$6,"Different position",IF(D9&gt;Settings!$C$9,"Age limit",IF(E9&gt;Settings!$C$7,"Fee limit",IF(F9&gt;Settings!$C$8,"Wage limit",IF(G9&lt;Settings!$C$10,"Minutes limit","Eligible")))))))))</x:f>
        <x:v>Different position</x:v>
      </x:c>
      <x:c r="N9" s="2" t="str">
        <x:f>IF(M9="Eligible",COUNTIFS($M$2:$M$61,"Eligible",$K$2:$K$61,"&gt;"&amp;K9)+COUNTIFS($M$2:M9,"Eligible",$K$2:K9,K9),"")</x:f>
      </x:c>
      <x:c r="O9" s="17" t="n">
        <x:f>IF(COUNTA(Players!A9:N9)&gt;0,IF(Players!E9="","",Players!E9),"")</x:f>
        <x:v>3600000</x:v>
      </x:c>
      <x:c r="P9" s="2" t="str">
        <x:f>IF(M9&lt;&gt;"Eligible","",COUNTIFS($M$2:$M$61,"Eligible",$K$2:$K$61,"&gt;"&amp;K9,$L$2:$L$61,"&lt;="&amp;L9)+COUNTIFS($M$2:$M$61,"Eligible",$K$2:$K$61,K9,$L$2:$L$61,"&lt;"&amp;L9))</x:f>
      </x:c>
      <x:c r="Q9" s="2" t="str">
        <x:f>IF(M9&lt;&gt;"Eligible","",IF(P9=0,"Frontier","Dominated"))</x:f>
      </x:c>
    </x:row>
    <x:row r="10" ht="23" customHeight="1">
      <x:c r="A10" s="2" t="str">
        <x:f>IF(COUNTA(Players!A10:N10)&gt;0,IF(Players!A10="","",Players!A10),"")</x:f>
        <x:v>P009</x:v>
      </x:c>
      <x:c r="B10" s="2" t="str">
        <x:f>IF(COUNTA(Players!A10:N10)&gt;0,IF(Players!B10="","",Players!B10),"")</x:f>
        <x:v>Oscar Finn</x:v>
      </x:c>
      <x:c r="C10" s="2" t="str">
        <x:f>IF(COUNTA(Players!A10:N10)&gt;0,IF(Players!C10="","",Players!C10),"")</x:f>
        <x:v>Centre-back</x:v>
      </x:c>
      <x:c r="D10" s="2" t="n">
        <x:f>IF(COUNTA(Players!A10:N10)&gt;0,IF(Players!D10="","",Players!D10),"")</x:f>
        <x:v>27</x:v>
      </x:c>
      <x:c r="E10" s="17" t="n">
        <x:f>IF(COUNTA(Players!A10:N10)&gt;0,IF(Players!F10="","",Players!F10),"")</x:f>
        <x:v>1700000</x:v>
      </x:c>
      <x:c r="F10" s="17" t="n">
        <x:f>IF(COUNTA(Players!A10:N10)&gt;0,IF(Players!G10="","",Players!G10),"")</x:f>
        <x:v>7000</x:v>
      </x:c>
      <x:c r="G10" s="2" t="n">
        <x:f>IF(COUNTA(Players!A10:N10)&gt;0,IF(Players!H10="","",Players!H10),"")</x:f>
        <x:v>900</x:v>
      </x:c>
      <x:c r="H10" s="2" t="n">
        <x:f>IF(COUNTA(Players!A10:N10)&gt;0,COUNT(Players!I10:N10),"")</x:f>
        <x:v>6</x:v>
      </x:c>
      <x:c r="I10" s="2" t="n">
        <x:f>IF(COUNTA(Players!A10:N10)&gt;0,COUNTIF(Players!$A$2:$A$61,A10),"")</x:f>
        <x:v>1</x:v>
      </x:c>
      <x:c r="J10" s="2" t="str">
        <x:f>IF(NOT(COUNTA(Players!A10:N10)&gt;0),"",IF(OR(A10="",B10=""),"Missing identity",IF(I10&gt;1,"Duplicate ID",IF(OR(COUNT(Players!D10:H10)&lt;&gt;5,H10&lt;&gt;6),"Missing numeric data",IF(OR(D10&lt;15,D10&gt;50,O10&lt;0,E10&lt;O10,F10&lt;0,G10&lt;0,MIN(Players!I10:N10)&lt;1,MAX(Players!I10:N10)&gt;20,COUNTIF(Settings!$B$17:$B$20,C10)&lt;&gt;1),"Invalid input","OK")))))</x:f>
        <x:v>OK</x:v>
      </x:c>
      <x:c r="K10" s="19" t="n">
        <x:f>IF(AND(J10="OK",Settings!$E$24="OK",Settings!$C$14="OK"),SUMPRODUCT(Players!I10:N10,Settings!$C$22:$H$22)/20*100,"")</x:f>
        <x:v>60.50000000000001</x:v>
      </x:c>
      <x:c r="L10" s="17" t="n">
        <x:f>IF(J10="OK",E10+F10*Settings!$C$12*Settings!$C$11,"")</x:f>
        <x:v>2792000</x:v>
      </x:c>
      <x:c r="M10" s="2" t="str">
        <x:f>IF(J10="","",IF(J10&lt;&gt;"OK","Fix data",IF(Settings!$C$14&lt;&gt;"OK","Fix settings",IF(Settings!$E$24&lt;&gt;"OK","Fix weights",IF(C10&lt;&gt;Settings!$C$6,"Different position",IF(D10&gt;Settings!$C$9,"Age limit",IF(E10&gt;Settings!$C$7,"Fee limit",IF(F10&gt;Settings!$C$8,"Wage limit",IF(G10&lt;Settings!$C$10,"Minutes limit","Eligible")))))))))</x:f>
        <x:v>Different position</x:v>
      </x:c>
      <x:c r="N10" s="2" t="str">
        <x:f>IF(M10="Eligible",COUNTIFS($M$2:$M$61,"Eligible",$K$2:$K$61,"&gt;"&amp;K10)+COUNTIFS($M$2:M10,"Eligible",$K$2:K10,K10),"")</x:f>
      </x:c>
      <x:c r="O10" s="17" t="n">
        <x:f>IF(COUNTA(Players!A10:N10)&gt;0,IF(Players!E10="","",Players!E10),"")</x:f>
        <x:v>800000</x:v>
      </x:c>
      <x:c r="P10" s="2" t="str">
        <x:f>IF(M10&lt;&gt;"Eligible","",COUNTIFS($M$2:$M$61,"Eligible",$K$2:$K$61,"&gt;"&amp;K10,$L$2:$L$61,"&lt;="&amp;L10)+COUNTIFS($M$2:$M$61,"Eligible",$K$2:$K$61,K10,$L$2:$L$61,"&lt;"&amp;L10))</x:f>
      </x:c>
      <x:c r="Q10" s="2" t="str">
        <x:f>IF(M10&lt;&gt;"Eligible","",IF(P10=0,"Frontier","Dominated"))</x:f>
      </x:c>
    </x:row>
    <x:row r="11" ht="23" customHeight="1">
      <x:c r="A11" s="2" t="str">
        <x:f>IF(COUNTA(Players!A11:N11)&gt;0,IF(Players!A11="","",Players!A11),"")</x:f>
        <x:v>P010</x:v>
      </x:c>
      <x:c r="B11" s="2" t="str">
        <x:f>IF(COUNTA(Players!A11:N11)&gt;0,IF(Players!B11="","",Players!B11),"")</x:f>
        <x:v>Luca Harrow</x:v>
      </x:c>
      <x:c r="C11" s="2" t="str">
        <x:f>IF(COUNTA(Players!A11:N11)&gt;0,IF(Players!C11="","",Players!C11),"")</x:f>
        <x:v>Midfielder</x:v>
      </x:c>
      <x:c r="D11" s="2" t="n">
        <x:f>IF(COUNTA(Players!A11:N11)&gt;0,IF(Players!D11="","",Players!D11),"")</x:f>
        <x:v>28</x:v>
      </x:c>
      <x:c r="E11" s="17" t="n">
        <x:f>IF(COUNTA(Players!A11:N11)&gt;0,IF(Players!F11="","",Players!F11),"")</x:f>
        <x:v>1700000</x:v>
      </x:c>
      <x:c r="F11" s="17" t="n">
        <x:f>IF(COUNTA(Players!A11:N11)&gt;0,IF(Players!G11="","",Players!G11),"")</x:f>
        <x:v>10000</x:v>
      </x:c>
      <x:c r="G11" s="2" t="n">
        <x:f>IF(COUNTA(Players!A11:N11)&gt;0,IF(Players!H11="","",Players!H11),"")</x:f>
        <x:v>1260</x:v>
      </x:c>
      <x:c r="H11" s="2" t="n">
        <x:f>IF(COUNTA(Players!A11:N11)&gt;0,COUNT(Players!I11:N11),"")</x:f>
        <x:v>6</x:v>
      </x:c>
      <x:c r="I11" s="2" t="n">
        <x:f>IF(COUNTA(Players!A11:N11)&gt;0,COUNTIF(Players!$A$2:$A$61,A11),"")</x:f>
        <x:v>1</x:v>
      </x:c>
      <x:c r="J11" s="2" t="str">
        <x:f>IF(NOT(COUNTA(Players!A11:N11)&gt;0),"",IF(OR(A11="",B11=""),"Missing identity",IF(I11&gt;1,"Duplicate ID",IF(OR(COUNT(Players!D11:H11)&lt;&gt;5,H11&lt;&gt;6),"Missing numeric data",IF(OR(D11&lt;15,D11&gt;50,O11&lt;0,E11&lt;O11,F11&lt;0,G11&lt;0,MIN(Players!I11:N11)&lt;1,MAX(Players!I11:N11)&gt;20,COUNTIF(Settings!$B$17:$B$20,C11)&lt;&gt;1),"Invalid input","OK")))))</x:f>
        <x:v>OK</x:v>
      </x:c>
      <x:c r="K11" s="19" t="n">
        <x:f>IF(AND(J11="OK",Settings!$E$24="OK",Settings!$C$14="OK"),SUMPRODUCT(Players!I11:N11,Settings!$C$22:$H$22)/20*100,"")</x:f>
        <x:v>75</x:v>
      </x:c>
      <x:c r="L11" s="17" t="n">
        <x:f>IF(J11="OK",E11+F11*Settings!$C$12*Settings!$C$11,"")</x:f>
        <x:v>3260000</x:v>
      </x:c>
      <x:c r="M11" s="2" t="str">
        <x:f>IF(J11="","",IF(J11&lt;&gt;"OK","Fix data",IF(Settings!$C$14&lt;&gt;"OK","Fix settings",IF(Settings!$E$24&lt;&gt;"OK","Fix weights",IF(C11&lt;&gt;Settings!$C$6,"Different position",IF(D11&gt;Settings!$C$9,"Age limit",IF(E11&gt;Settings!$C$7,"Fee limit",IF(F11&gt;Settings!$C$8,"Wage limit",IF(G11&lt;Settings!$C$10,"Minutes limit","Eligible")))))))))</x:f>
        <x:v>Age limit</x:v>
      </x:c>
      <x:c r="N11" s="2" t="str">
        <x:f>IF(M11="Eligible",COUNTIFS($M$2:$M$61,"Eligible",$K$2:$K$61,"&gt;"&amp;K11)+COUNTIFS($M$2:M11,"Eligible",$K$2:K11,K11),"")</x:f>
      </x:c>
      <x:c r="O11" s="17" t="n">
        <x:f>IF(COUNTA(Players!A11:N11)&gt;0,IF(Players!E11="","",Players!E11),"")</x:f>
        <x:v>1200000</x:v>
      </x:c>
      <x:c r="P11" s="2" t="str">
        <x:f>IF(M11&lt;&gt;"Eligible","",COUNTIFS($M$2:$M$61,"Eligible",$K$2:$K$61,"&gt;"&amp;K11,$L$2:$L$61,"&lt;="&amp;L11)+COUNTIFS($M$2:$M$61,"Eligible",$K$2:$K$61,K11,$L$2:$L$61,"&lt;"&amp;L11))</x:f>
      </x:c>
      <x:c r="Q11" s="2" t="str">
        <x:f>IF(M11&lt;&gt;"Eligible","",IF(P11=0,"Frontier","Dominated"))</x:f>
      </x:c>
    </x:row>
    <x:row r="12" ht="23" customHeight="1">
      <x:c r="A12" s="2" t="str">
        <x:f>IF(COUNTA(Players!A12:N12)&gt;0,IF(Players!A12="","",Players!A12),"")</x:f>
        <x:v>P011</x:v>
      </x:c>
      <x:c r="B12" s="2" t="str">
        <x:f>IF(COUNTA(Players!A12:N12)&gt;0,IF(Players!B12="","",Players!B12),"")</x:f>
        <x:v>Ben Alder</x:v>
      </x:c>
      <x:c r="C12" s="2" t="str">
        <x:f>IF(COUNTA(Players!A12:N12)&gt;0,IF(Players!C12="","",Players!C12),"")</x:f>
        <x:v>Striker</x:v>
      </x:c>
      <x:c r="D12" s="2" t="n">
        <x:f>IF(COUNTA(Players!A12:N12)&gt;0,IF(Players!D12="","",Players!D12),"")</x:f>
        <x:v>29</x:v>
      </x:c>
      <x:c r="E12" s="17" t="n">
        <x:f>IF(COUNTA(Players!A12:N12)&gt;0,IF(Players!F12="","",Players!F12),"")</x:f>
        <x:v>2300000</x:v>
      </x:c>
      <x:c r="F12" s="17" t="n">
        <x:f>IF(COUNTA(Players!A12:N12)&gt;0,IF(Players!G12="","",Players!G12),"")</x:f>
        <x:v>13000</x:v>
      </x:c>
      <x:c r="G12" s="2" t="n">
        <x:f>IF(COUNTA(Players!A12:N12)&gt;0,IF(Players!H12="","",Players!H12),"")</x:f>
        <x:v>1620</x:v>
      </x:c>
      <x:c r="H12" s="2" t="n">
        <x:f>IF(COUNTA(Players!A12:N12)&gt;0,COUNT(Players!I12:N12),"")</x:f>
        <x:v>6</x:v>
      </x:c>
      <x:c r="I12" s="2" t="n">
        <x:f>IF(COUNTA(Players!A12:N12)&gt;0,COUNTIF(Players!$A$2:$A$61,A12),"")</x:f>
        <x:v>1</x:v>
      </x:c>
      <x:c r="J12" s="2" t="str">
        <x:f>IF(NOT(COUNTA(Players!A12:N12)&gt;0),"",IF(OR(A12="",B12=""),"Missing identity",IF(I12&gt;1,"Duplicate ID",IF(OR(COUNT(Players!D12:H12)&lt;&gt;5,H12&lt;&gt;6),"Missing numeric data",IF(OR(D12&lt;15,D12&gt;50,O12&lt;0,E12&lt;O12,F12&lt;0,G12&lt;0,MIN(Players!I12:N12)&lt;1,MAX(Players!I12:N12)&gt;20,COUNTIF(Settings!$B$17:$B$20,C12)&lt;&gt;1),"Invalid input","OK")))))</x:f>
        <x:v>OK</x:v>
      </x:c>
      <x:c r="K12" s="19" t="n">
        <x:f>IF(AND(J12="OK",Settings!$E$24="OK",Settings!$C$14="OK"),SUMPRODUCT(Players!I12:N12,Settings!$C$22:$H$22)/20*100,"")</x:f>
        <x:v>58.5</x:v>
      </x:c>
      <x:c r="L12" s="17" t="n">
        <x:f>IF(J12="OK",E12+F12*Settings!$C$12*Settings!$C$11,"")</x:f>
        <x:v>4328000</x:v>
      </x:c>
      <x:c r="M12" s="2" t="str">
        <x:f>IF(J12="","",IF(J12&lt;&gt;"OK","Fix data",IF(Settings!$C$14&lt;&gt;"OK","Fix settings",IF(Settings!$E$24&lt;&gt;"OK","Fix weights",IF(C12&lt;&gt;Settings!$C$6,"Different position",IF(D12&gt;Settings!$C$9,"Age limit",IF(E12&gt;Settings!$C$7,"Fee limit",IF(F12&gt;Settings!$C$8,"Wage limit",IF(G12&lt;Settings!$C$10,"Minutes limit","Eligible")))))))))</x:f>
        <x:v>Different position</x:v>
      </x:c>
      <x:c r="N12" s="2" t="str">
        <x:f>IF(M12="Eligible",COUNTIFS($M$2:$M$61,"Eligible",$K$2:$K$61,"&gt;"&amp;K12)+COUNTIFS($M$2:M12,"Eligible",$K$2:K12,K12),"")</x:f>
      </x:c>
      <x:c r="O12" s="17" t="n">
        <x:f>IF(COUNTA(Players!A12:N12)&gt;0,IF(Players!E12="","",Players!E12),"")</x:f>
        <x:v>1600000</x:v>
      </x:c>
      <x:c r="P12" s="2" t="str">
        <x:f>IF(M12&lt;&gt;"Eligible","",COUNTIFS($M$2:$M$61,"Eligible",$K$2:$K$61,"&gt;"&amp;K12,$L$2:$L$61,"&lt;="&amp;L12)+COUNTIFS($M$2:$M$61,"Eligible",$K$2:$K$61,K12,$L$2:$L$61,"&lt;"&amp;L12))</x:f>
      </x:c>
      <x:c r="Q12" s="2" t="str">
        <x:f>IF(M12&lt;&gt;"Eligible","",IF(P12=0,"Frontier","Dominated"))</x:f>
      </x:c>
    </x:row>
    <x:row r="13" ht="23" customHeight="1">
      <x:c r="A13" s="2" t="str">
        <x:f>IF(COUNTA(Players!A13:N13)&gt;0,IF(Players!A13="","",Players!A13),"")</x:f>
        <x:v>P012</x:v>
      </x:c>
      <x:c r="B13" s="2" t="str">
        <x:f>IF(COUNTA(Players!A13:N13)&gt;0,IF(Players!B13="","",Players!B13),"")</x:f>
        <x:v>Milo Dean</x:v>
      </x:c>
      <x:c r="C13" s="2" t="str">
        <x:f>IF(COUNTA(Players!A13:N13)&gt;0,IF(Players!C13="","",Players!C13),"")</x:f>
        <x:v>Wide forward</x:v>
      </x:c>
      <x:c r="D13" s="2" t="n">
        <x:f>IF(COUNTA(Players!A13:N13)&gt;0,IF(Players!D13="","",Players!D13),"")</x:f>
        <x:v>19</x:v>
      </x:c>
      <x:c r="E13" s="17" t="n">
        <x:f>IF(COUNTA(Players!A13:N13)&gt;0,IF(Players!F13="","",Players!F13),"")</x:f>
        <x:v>2900000</x:v>
      </x:c>
      <x:c r="F13" s="17" t="n">
        <x:f>IF(COUNTA(Players!A13:N13)&gt;0,IF(Players!G13="","",Players!G13),"")</x:f>
        <x:v>16000</x:v>
      </x:c>
      <x:c r="G13" s="2" t="n">
        <x:f>IF(COUNTA(Players!A13:N13)&gt;0,IF(Players!H13="","",Players!H13),"")</x:f>
        <x:v>1980</x:v>
      </x:c>
      <x:c r="H13" s="2" t="n">
        <x:f>IF(COUNTA(Players!A13:N13)&gt;0,COUNT(Players!I13:N13),"")</x:f>
        <x:v>6</x:v>
      </x:c>
      <x:c r="I13" s="2" t="n">
        <x:f>IF(COUNTA(Players!A13:N13)&gt;0,COUNTIF(Players!$A$2:$A$61,A13),"")</x:f>
        <x:v>1</x:v>
      </x:c>
      <x:c r="J13" s="2" t="str">
        <x:f>IF(NOT(COUNTA(Players!A13:N13)&gt;0),"",IF(OR(A13="",B13=""),"Missing identity",IF(I13&gt;1,"Duplicate ID",IF(OR(COUNT(Players!D13:H13)&lt;&gt;5,H13&lt;&gt;6),"Missing numeric data",IF(OR(D13&lt;15,D13&gt;50,O13&lt;0,E13&lt;O13,F13&lt;0,G13&lt;0,MIN(Players!I13:N13)&lt;1,MAX(Players!I13:N13)&gt;20,COUNTIF(Settings!$B$17:$B$20,C13)&lt;&gt;1),"Invalid input","OK")))))</x:f>
        <x:v>OK</x:v>
      </x:c>
      <x:c r="K13" s="19" t="n">
        <x:f>IF(AND(J13="OK",Settings!$E$24="OK",Settings!$C$14="OK"),SUMPRODUCT(Players!I13:N13,Settings!$C$22:$H$22)/20*100,"")</x:f>
        <x:v>57.49999999999999</x:v>
      </x:c>
      <x:c r="L13" s="17" t="n">
        <x:f>IF(J13="OK",E13+F13*Settings!$C$12*Settings!$C$11,"")</x:f>
        <x:v>5396000</x:v>
      </x:c>
      <x:c r="M13" s="2" t="str">
        <x:f>IF(J13="","",IF(J13&lt;&gt;"OK","Fix data",IF(Settings!$C$14&lt;&gt;"OK","Fix settings",IF(Settings!$E$24&lt;&gt;"OK","Fix weights",IF(C13&lt;&gt;Settings!$C$6,"Different position",IF(D13&gt;Settings!$C$9,"Age limit",IF(E13&gt;Settings!$C$7,"Fee limit",IF(F13&gt;Settings!$C$8,"Wage limit",IF(G13&lt;Settings!$C$10,"Minutes limit","Eligible")))))))))</x:f>
        <x:v>Different position</x:v>
      </x:c>
      <x:c r="N13" s="2" t="str">
        <x:f>IF(M13="Eligible",COUNTIFS($M$2:$M$61,"Eligible",$K$2:$K$61,"&gt;"&amp;K13)+COUNTIFS($M$2:M13,"Eligible",$K$2:K13,K13),"")</x:f>
      </x:c>
      <x:c r="O13" s="17" t="n">
        <x:f>IF(COUNTA(Players!A13:N13)&gt;0,IF(Players!E13="","",Players!E13),"")</x:f>
        <x:v>2000000</x:v>
      </x:c>
      <x:c r="P13" s="2" t="str">
        <x:f>IF(M13&lt;&gt;"Eligible","",COUNTIFS($M$2:$M$61,"Eligible",$K$2:$K$61,"&gt;"&amp;K13,$L$2:$L$61,"&lt;="&amp;L13)+COUNTIFS($M$2:$M$61,"Eligible",$K$2:$K$61,K13,$L$2:$L$61,"&lt;"&amp;L13))</x:f>
      </x:c>
      <x:c r="Q13" s="2" t="str">
        <x:f>IF(M13&lt;&gt;"Eligible","",IF(P13=0,"Frontier","Dominated"))</x:f>
      </x:c>
    </x:row>
    <x:row r="14" ht="23" customHeight="1">
      <x:c r="A14" s="2" t="str">
        <x:f>IF(COUNTA(Players!A14:N14)&gt;0,IF(Players!A14="","",Players!A14),"")</x:f>
        <x:v>P013</x:v>
      </x:c>
      <x:c r="B14" s="2" t="str">
        <x:f>IF(COUNTA(Players!A14:N14)&gt;0,IF(Players!B14="","",Players!B14),"")</x:f>
        <x:v>Arlo Quinn</x:v>
      </x:c>
      <x:c r="C14" s="2" t="str">
        <x:f>IF(COUNTA(Players!A14:N14)&gt;0,IF(Players!C14="","",Players!C14),"")</x:f>
        <x:v>Centre-back</x:v>
      </x:c>
      <x:c r="D14" s="2" t="n">
        <x:f>IF(COUNTA(Players!A14:N14)&gt;0,IF(Players!D14="","",Players!D14),"")</x:f>
        <x:v>20</x:v>
      </x:c>
      <x:c r="E14" s="17" t="n">
        <x:f>IF(COUNTA(Players!A14:N14)&gt;0,IF(Players!F14="","",Players!F14),"")</x:f>
        <x:v>2900000</x:v>
      </x:c>
      <x:c r="F14" s="17" t="n">
        <x:f>IF(COUNTA(Players!A14:N14)&gt;0,IF(Players!G14="","",Players!G14),"")</x:f>
        <x:v>19000</x:v>
      </x:c>
      <x:c r="G14" s="2" t="n">
        <x:f>IF(COUNTA(Players!A14:N14)&gt;0,IF(Players!H14="","",Players!H14),"")</x:f>
        <x:v>2340</x:v>
      </x:c>
      <x:c r="H14" s="2" t="n">
        <x:f>IF(COUNTA(Players!A14:N14)&gt;0,COUNT(Players!I14:N14),"")</x:f>
        <x:v>6</x:v>
      </x:c>
      <x:c r="I14" s="2" t="n">
        <x:f>IF(COUNTA(Players!A14:N14)&gt;0,COUNTIF(Players!$A$2:$A$61,A14),"")</x:f>
        <x:v>1</x:v>
      </x:c>
      <x:c r="J14" s="2" t="str">
        <x:f>IF(NOT(COUNTA(Players!A14:N14)&gt;0),"",IF(OR(A14="",B14=""),"Missing identity",IF(I14&gt;1,"Duplicate ID",IF(OR(COUNT(Players!D14:H14)&lt;&gt;5,H14&lt;&gt;6),"Missing numeric data",IF(OR(D14&lt;15,D14&gt;50,O14&lt;0,E14&lt;O14,F14&lt;0,G14&lt;0,MIN(Players!I14:N14)&lt;1,MAX(Players!I14:N14)&gt;20,COUNTIF(Settings!$B$17:$B$20,C14)&lt;&gt;1),"Invalid input","OK")))))</x:f>
        <x:v>OK</x:v>
      </x:c>
      <x:c r="K14" s="19" t="n">
        <x:f>IF(AND(J14="OK",Settings!$E$24="OK",Settings!$C$14="OK"),SUMPRODUCT(Players!I14:N14,Settings!$C$22:$H$22)/20*100,"")</x:f>
        <x:v>71.50000000000001</x:v>
      </x:c>
      <x:c r="L14" s="17" t="n">
        <x:f>IF(J14="OK",E14+F14*Settings!$C$12*Settings!$C$11,"")</x:f>
        <x:v>5864000</x:v>
      </x:c>
      <x:c r="M14" s="2" t="str">
        <x:f>IF(J14="","",IF(J14&lt;&gt;"OK","Fix data",IF(Settings!$C$14&lt;&gt;"OK","Fix settings",IF(Settings!$E$24&lt;&gt;"OK","Fix weights",IF(C14&lt;&gt;Settings!$C$6,"Different position",IF(D14&gt;Settings!$C$9,"Age limit",IF(E14&gt;Settings!$C$7,"Fee limit",IF(F14&gt;Settings!$C$8,"Wage limit",IF(G14&lt;Settings!$C$10,"Minutes limit","Eligible")))))))))</x:f>
        <x:v>Different position</x:v>
      </x:c>
      <x:c r="N14" s="2" t="str">
        <x:f>IF(M14="Eligible",COUNTIFS($M$2:$M$61,"Eligible",$K$2:$K$61,"&gt;"&amp;K14)+COUNTIFS($M$2:M14,"Eligible",$K$2:K14,K14),"")</x:f>
      </x:c>
      <x:c r="O14" s="17" t="n">
        <x:f>IF(COUNTA(Players!A14:N14)&gt;0,IF(Players!E14="","",Players!E14),"")</x:f>
        <x:v>2400000</x:v>
      </x:c>
      <x:c r="P14" s="2" t="str">
        <x:f>IF(M14&lt;&gt;"Eligible","",COUNTIFS($M$2:$M$61,"Eligible",$K$2:$K$61,"&gt;"&amp;K14,$L$2:$L$61,"&lt;="&amp;L14)+COUNTIFS($M$2:$M$61,"Eligible",$K$2:$K$61,K14,$L$2:$L$61,"&lt;"&amp;L14))</x:f>
      </x:c>
      <x:c r="Q14" s="2" t="str">
        <x:f>IF(M14&lt;&gt;"Eligible","",IF(P14=0,"Frontier","Dominated"))</x:f>
      </x:c>
    </x:row>
    <x:row r="15" ht="23" customHeight="1">
      <x:c r="A15" s="2" t="str">
        <x:f>IF(COUNTA(Players!A15:N15)&gt;0,IF(Players!A15="","",Players!A15),"")</x:f>
        <x:v>P014</x:v>
      </x:c>
      <x:c r="B15" s="2" t="str">
        <x:f>IF(COUNTA(Players!A15:N15)&gt;0,IF(Players!B15="","",Players!B15),"")</x:f>
        <x:v>Hugo West</x:v>
      </x:c>
      <x:c r="C15" s="2" t="str">
        <x:f>IF(COUNTA(Players!A15:N15)&gt;0,IF(Players!C15="","",Players!C15),"")</x:f>
        <x:v>Midfielder</x:v>
      </x:c>
      <x:c r="D15" s="2" t="n">
        <x:f>IF(COUNTA(Players!A15:N15)&gt;0,IF(Players!D15="","",Players!D15),"")</x:f>
        <x:v>21</x:v>
      </x:c>
      <x:c r="E15" s="17" t="n">
        <x:f>IF(COUNTA(Players!A15:N15)&gt;0,IF(Players!F15="","",Players!F15),"")</x:f>
        <x:v>3500000</x:v>
      </x:c>
      <x:c r="F15" s="17" t="n">
        <x:f>IF(COUNTA(Players!A15:N15)&gt;0,IF(Players!G15="","",Players!G15),"")</x:f>
        <x:v>22000</x:v>
      </x:c>
      <x:c r="G15" s="2" t="n">
        <x:f>IF(COUNTA(Players!A15:N15)&gt;0,IF(Players!H15="","",Players!H15),"")</x:f>
        <x:v>2700</x:v>
      </x:c>
      <x:c r="H15" s="2" t="n">
        <x:f>IF(COUNTA(Players!A15:N15)&gt;0,COUNT(Players!I15:N15),"")</x:f>
        <x:v>6</x:v>
      </x:c>
      <x:c r="I15" s="2" t="n">
        <x:f>IF(COUNTA(Players!A15:N15)&gt;0,COUNTIF(Players!$A$2:$A$61,A15),"")</x:f>
        <x:v>1</x:v>
      </x:c>
      <x:c r="J15" s="2" t="str">
        <x:f>IF(NOT(COUNTA(Players!A15:N15)&gt;0),"",IF(OR(A15="",B15=""),"Missing identity",IF(I15&gt;1,"Duplicate ID",IF(OR(COUNT(Players!D15:H15)&lt;&gt;5,H15&lt;&gt;6),"Missing numeric data",IF(OR(D15&lt;15,D15&gt;50,O15&lt;0,E15&lt;O15,F15&lt;0,G15&lt;0,MIN(Players!I15:N15)&lt;1,MAX(Players!I15:N15)&gt;20,COUNTIF(Settings!$B$17:$B$20,C15)&lt;&gt;1),"Invalid input","OK")))))</x:f>
        <x:v>OK</x:v>
      </x:c>
      <x:c r="K15" s="19" t="n">
        <x:f>IF(AND(J15="OK",Settings!$E$24="OK",Settings!$C$14="OK"),SUMPRODUCT(Players!I15:N15,Settings!$C$22:$H$22)/20*100,"")</x:f>
        <x:v>68</x:v>
      </x:c>
      <x:c r="L15" s="17" t="n">
        <x:f>IF(J15="OK",E15+F15*Settings!$C$12*Settings!$C$11,"")</x:f>
        <x:v>6932000</x:v>
      </x:c>
      <x:c r="M15" s="2" t="str">
        <x:f>IF(J15="","",IF(J15&lt;&gt;"OK","Fix data",IF(Settings!$C$14&lt;&gt;"OK","Fix settings",IF(Settings!$E$24&lt;&gt;"OK","Fix weights",IF(C15&lt;&gt;Settings!$C$6,"Different position",IF(D15&gt;Settings!$C$9,"Age limit",IF(E15&gt;Settings!$C$7,"Fee limit",IF(F15&gt;Settings!$C$8,"Wage limit",IF(G15&lt;Settings!$C$10,"Minutes limit","Eligible")))))))))</x:f>
        <x:v>Eligible</x:v>
      </x:c>
      <x:c r="N15" s="2" t="n">
        <x:f>IF(M15="Eligible",COUNTIFS($M$2:$M$61,"Eligible",$K$2:$K$61,"&gt;"&amp;K15)+COUNTIFS($M$2:M15,"Eligible",$K$2:K15,K15),"")</x:f>
        <x:v>4</x:v>
      </x:c>
      <x:c r="O15" s="17" t="n">
        <x:f>IF(COUNTA(Players!A15:N15)&gt;0,IF(Players!E15="","",Players!E15),"")</x:f>
        <x:v>2800000</x:v>
      </x:c>
      <x:c r="P15" s="2" t="n">
        <x:f>IF(M15&lt;&gt;"Eligible","",COUNTIFS($M$2:$M$61,"Eligible",$K$2:$K$61,"&gt;"&amp;K15,$L$2:$L$61,"&lt;="&amp;L15)+COUNTIFS($M$2:$M$61,"Eligible",$K$2:$K$61,K15,$L$2:$L$61,"&lt;"&amp;L15))</x:f>
        <x:v>2</x:v>
      </x:c>
      <x:c r="Q15" s="2" t="str">
        <x:f>IF(M15&lt;&gt;"Eligible","",IF(P15=0,"Frontier","Dominated"))</x:f>
        <x:v>Dominated</x:v>
      </x:c>
    </x:row>
    <x:row r="16" ht="23" customHeight="1">
      <x:c r="A16" s="2" t="str">
        <x:f>IF(COUNTA(Players!A16:N16)&gt;0,IF(Players!A16="","",Players!A16),"")</x:f>
        <x:v>P015</x:v>
      </x:c>
      <x:c r="B16" s="2" t="str">
        <x:f>IF(COUNTA(Players!A16:N16)&gt;0,IF(Players!B16="","",Players!B16),"")</x:f>
        <x:v>Finn Rowan</x:v>
      </x:c>
      <x:c r="C16" s="2" t="str">
        <x:f>IF(COUNTA(Players!A16:N16)&gt;0,IF(Players!C16="","",Players!C16),"")</x:f>
        <x:v>Striker</x:v>
      </x:c>
      <x:c r="D16" s="2" t="n">
        <x:f>IF(COUNTA(Players!A16:N16)&gt;0,IF(Players!D16="","",Players!D16),"")</x:f>
        <x:v>22</x:v>
      </x:c>
      <x:c r="E16" s="17" t="n">
        <x:f>IF(COUNTA(Players!A16:N16)&gt;0,IF(Players!F16="","",Players!F16),"")</x:f>
        <x:v>4100000</x:v>
      </x:c>
      <x:c r="F16" s="17" t="n">
        <x:f>IF(COUNTA(Players!A16:N16)&gt;0,IF(Players!G16="","",Players!G16),"")</x:f>
        <x:v>25000</x:v>
      </x:c>
      <x:c r="G16" s="2" t="n">
        <x:f>IF(COUNTA(Players!A16:N16)&gt;0,IF(Players!H16="","",Players!H16),"")</x:f>
        <x:v>540</x:v>
      </x:c>
      <x:c r="H16" s="2" t="n">
        <x:f>IF(COUNTA(Players!A16:N16)&gt;0,COUNT(Players!I16:N16),"")</x:f>
        <x:v>6</x:v>
      </x:c>
      <x:c r="I16" s="2" t="n">
        <x:f>IF(COUNTA(Players!A16:N16)&gt;0,COUNTIF(Players!$A$2:$A$61,A16),"")</x:f>
        <x:v>1</x:v>
      </x:c>
      <x:c r="J16" s="2" t="str">
        <x:f>IF(NOT(COUNTA(Players!A16:N16)&gt;0),"",IF(OR(A16="",B16=""),"Missing identity",IF(I16&gt;1,"Duplicate ID",IF(OR(COUNT(Players!D16:H16)&lt;&gt;5,H16&lt;&gt;6),"Missing numeric data",IF(OR(D16&lt;15,D16&gt;50,O16&lt;0,E16&lt;O16,F16&lt;0,G16&lt;0,MIN(Players!I16:N16)&lt;1,MAX(Players!I16:N16)&gt;20,COUNTIF(Settings!$B$17:$B$20,C16)&lt;&gt;1),"Invalid input","OK")))))</x:f>
        <x:v>OK</x:v>
      </x:c>
      <x:c r="K16" s="19" t="n">
        <x:f>IF(AND(J16="OK",Settings!$E$24="OK",Settings!$C$14="OK"),SUMPRODUCT(Players!I16:N16,Settings!$C$22:$H$22)/20*100,"")</x:f>
        <x:v>63.000000000000014</x:v>
      </x:c>
      <x:c r="L16" s="17" t="n">
        <x:f>IF(J16="OK",E16+F16*Settings!$C$12*Settings!$C$11,"")</x:f>
        <x:v>8000000</x:v>
      </x:c>
      <x:c r="M16" s="2" t="str">
        <x:f>IF(J16="","",IF(J16&lt;&gt;"OK","Fix data",IF(Settings!$C$14&lt;&gt;"OK","Fix settings",IF(Settings!$E$24&lt;&gt;"OK","Fix weights",IF(C16&lt;&gt;Settings!$C$6,"Different position",IF(D16&gt;Settings!$C$9,"Age limit",IF(E16&gt;Settings!$C$7,"Fee limit",IF(F16&gt;Settings!$C$8,"Wage limit",IF(G16&lt;Settings!$C$10,"Minutes limit","Eligible")))))))))</x:f>
        <x:v>Different position</x:v>
      </x:c>
      <x:c r="N16" s="2" t="str">
        <x:f>IF(M16="Eligible",COUNTIFS($M$2:$M$61,"Eligible",$K$2:$K$61,"&gt;"&amp;K16)+COUNTIFS($M$2:M16,"Eligible",$K$2:K16,K16),"")</x:f>
      </x:c>
      <x:c r="O16" s="17" t="n">
        <x:f>IF(COUNTA(Players!A16:N16)&gt;0,IF(Players!E16="","",Players!E16),"")</x:f>
        <x:v>3200000</x:v>
      </x:c>
      <x:c r="P16" s="2" t="str">
        <x:f>IF(M16&lt;&gt;"Eligible","",COUNTIFS($M$2:$M$61,"Eligible",$K$2:$K$61,"&gt;"&amp;K16,$L$2:$L$61,"&lt;="&amp;L16)+COUNTIFS($M$2:$M$61,"Eligible",$K$2:$K$61,K16,$L$2:$L$61,"&lt;"&amp;L16))</x:f>
      </x:c>
      <x:c r="Q16" s="2" t="str">
        <x:f>IF(M16&lt;&gt;"Eligible","",IF(P16=0,"Frontier","Dominated"))</x:f>
      </x:c>
    </x:row>
    <x:row r="17" ht="23" customHeight="1">
      <x:c r="A17" s="2" t="str">
        <x:f>IF(COUNTA(Players!A17:N17)&gt;0,IF(Players!A17="","",Players!A17),"")</x:f>
        <x:v>P016</x:v>
      </x:c>
      <x:c r="B17" s="2" t="str">
        <x:f>IF(COUNTA(Players!A17:N17)&gt;0,IF(Players!B17="","",Players!B17),"")</x:f>
        <x:v>Joel Ellis</x:v>
      </x:c>
      <x:c r="C17" s="2" t="str">
        <x:f>IF(COUNTA(Players!A17:N17)&gt;0,IF(Players!C17="","",Players!C17),"")</x:f>
        <x:v>Wide forward</x:v>
      </x:c>
      <x:c r="D17" s="2" t="n">
        <x:f>IF(COUNTA(Players!A17:N17)&gt;0,IF(Players!D17="","",Players!D17),"")</x:f>
        <x:v>23</x:v>
      </x:c>
      <x:c r="E17" s="17" t="n">
        <x:f>IF(COUNTA(Players!A17:N17)&gt;0,IF(Players!F17="","",Players!F17),"")</x:f>
        <x:v>4100000</x:v>
      </x:c>
      <x:c r="F17" s="17" t="n">
        <x:f>IF(COUNTA(Players!A17:N17)&gt;0,IF(Players!G17="","",Players!G17),"")</x:f>
        <x:v>28000</x:v>
      </x:c>
      <x:c r="G17" s="2" t="n">
        <x:f>IF(COUNTA(Players!A17:N17)&gt;0,IF(Players!H17="","",Players!H17),"")</x:f>
        <x:v>900</x:v>
      </x:c>
      <x:c r="H17" s="2" t="n">
        <x:f>IF(COUNTA(Players!A17:N17)&gt;0,COUNT(Players!I17:N17),"")</x:f>
        <x:v>6</x:v>
      </x:c>
      <x:c r="I17" s="2" t="n">
        <x:f>IF(COUNTA(Players!A17:N17)&gt;0,COUNTIF(Players!$A$2:$A$61,A17),"")</x:f>
        <x:v>1</x:v>
      </x:c>
      <x:c r="J17" s="2" t="str">
        <x:f>IF(NOT(COUNTA(Players!A17:N17)&gt;0),"",IF(OR(A17="",B17=""),"Missing identity",IF(I17&gt;1,"Duplicate ID",IF(OR(COUNT(Players!D17:H17)&lt;&gt;5,H17&lt;&gt;6),"Missing numeric data",IF(OR(D17&lt;15,D17&gt;50,O17&lt;0,E17&lt;O17,F17&lt;0,G17&lt;0,MIN(Players!I17:N17)&lt;1,MAX(Players!I17:N17)&gt;20,COUNTIF(Settings!$B$17:$B$20,C17)&lt;&gt;1),"Invalid input","OK")))))</x:f>
        <x:v>OK</x:v>
      </x:c>
      <x:c r="K17" s="19" t="n">
        <x:f>IF(AND(J17="OK",Settings!$E$24="OK",Settings!$C$14="OK"),SUMPRODUCT(Players!I17:N17,Settings!$C$22:$H$22)/20*100,"")</x:f>
        <x:v>61</x:v>
      </x:c>
      <x:c r="L17" s="17" t="n">
        <x:f>IF(J17="OK",E17+F17*Settings!$C$12*Settings!$C$11,"")</x:f>
        <x:v>8468000</x:v>
      </x:c>
      <x:c r="M17" s="2" t="str">
        <x:f>IF(J17="","",IF(J17&lt;&gt;"OK","Fix data",IF(Settings!$C$14&lt;&gt;"OK","Fix settings",IF(Settings!$E$24&lt;&gt;"OK","Fix weights",IF(C17&lt;&gt;Settings!$C$6,"Different position",IF(D17&gt;Settings!$C$9,"Age limit",IF(E17&gt;Settings!$C$7,"Fee limit",IF(F17&gt;Settings!$C$8,"Wage limit",IF(G17&lt;Settings!$C$10,"Minutes limit","Eligible")))))))))</x:f>
        <x:v>Different position</x:v>
      </x:c>
      <x:c r="N17" s="2" t="str">
        <x:f>IF(M17="Eligible",COUNTIFS($M$2:$M$61,"Eligible",$K$2:$K$61,"&gt;"&amp;K17)+COUNTIFS($M$2:M17,"Eligible",$K$2:K17,K17),"")</x:f>
      </x:c>
      <x:c r="O17" s="17" t="n">
        <x:f>IF(COUNTA(Players!A17:N17)&gt;0,IF(Players!E17="","",Players!E17),"")</x:f>
        <x:v>3600000</x:v>
      </x:c>
      <x:c r="P17" s="2" t="str">
        <x:f>IF(M17&lt;&gt;"Eligible","",COUNTIFS($M$2:$M$61,"Eligible",$K$2:$K$61,"&gt;"&amp;K17,$L$2:$L$61,"&lt;="&amp;L17)+COUNTIFS($M$2:$M$61,"Eligible",$K$2:$K$61,K17,$L$2:$L$61,"&lt;"&amp;L17))</x:f>
      </x:c>
      <x:c r="Q17" s="2" t="str">
        <x:f>IF(M17&lt;&gt;"Eligible","",IF(P17=0,"Frontier","Dominated"))</x:f>
      </x:c>
    </x:row>
    <x:row r="18" ht="23" customHeight="1">
      <x:c r="A18" s="2" t="str">
        <x:f>IF(COUNTA(Players!A18:N18)&gt;0,IF(Players!A18="","",Players!A18),"")</x:f>
        <x:v>P017</x:v>
      </x:c>
      <x:c r="B18" s="2" t="str">
        <x:f>IF(COUNTA(Players!A18:N18)&gt;0,IF(Players!B18="","",Players!B18),"")</x:f>
        <x:v>Kai Sutton</x:v>
      </x:c>
      <x:c r="C18" s="2" t="str">
        <x:f>IF(COUNTA(Players!A18:N18)&gt;0,IF(Players!C18="","",Players!C18),"")</x:f>
        <x:v>Centre-back</x:v>
      </x:c>
      <x:c r="D18" s="2" t="n">
        <x:f>IF(COUNTA(Players!A18:N18)&gt;0,IF(Players!D18="","",Players!D18),"")</x:f>
        <x:v>24</x:v>
      </x:c>
      <x:c r="E18" s="17" t="n">
        <x:f>IF(COUNTA(Players!A18:N18)&gt;0,IF(Players!F18="","",Players!F18),"")</x:f>
        <x:v>1500000</x:v>
      </x:c>
      <x:c r="F18" s="17" t="n">
        <x:f>IF(COUNTA(Players!A18:N18)&gt;0,IF(Players!G18="","",Players!G18),"")</x:f>
        <x:v>7000</x:v>
      </x:c>
      <x:c r="G18" s="2" t="n">
        <x:f>IF(COUNTA(Players!A18:N18)&gt;0,IF(Players!H18="","",Players!H18),"")</x:f>
        <x:v>1260</x:v>
      </x:c>
      <x:c r="H18" s="2" t="n">
        <x:f>IF(COUNTA(Players!A18:N18)&gt;0,COUNT(Players!I18:N18),"")</x:f>
        <x:v>6</x:v>
      </x:c>
      <x:c r="I18" s="2" t="n">
        <x:f>IF(COUNTA(Players!A18:N18)&gt;0,COUNTIF(Players!$A$2:$A$61,A18),"")</x:f>
        <x:v>1</x:v>
      </x:c>
      <x:c r="J18" s="2" t="str">
        <x:f>IF(NOT(COUNTA(Players!A18:N18)&gt;0),"",IF(OR(A18="",B18=""),"Missing identity",IF(I18&gt;1,"Duplicate ID",IF(OR(COUNT(Players!D18:H18)&lt;&gt;5,H18&lt;&gt;6),"Missing numeric data",IF(OR(D18&lt;15,D18&gt;50,O18&lt;0,E18&lt;O18,F18&lt;0,G18&lt;0,MIN(Players!I18:N18)&lt;1,MAX(Players!I18:N18)&gt;20,COUNTIF(Settings!$B$17:$B$20,C18)&lt;&gt;1),"Invalid input","OK")))))</x:f>
        <x:v>OK</x:v>
      </x:c>
      <x:c r="K18" s="19" t="n">
        <x:f>IF(AND(J18="OK",Settings!$E$24="OK",Settings!$C$14="OK"),SUMPRODUCT(Players!I18:N18,Settings!$C$22:$H$22)/20*100,"")</x:f>
        <x:v>62.5</x:v>
      </x:c>
      <x:c r="L18" s="17" t="n">
        <x:f>IF(J18="OK",E18+F18*Settings!$C$12*Settings!$C$11,"")</x:f>
        <x:v>2592000</x:v>
      </x:c>
      <x:c r="M18" s="2" t="str">
        <x:f>IF(J18="","",IF(J18&lt;&gt;"OK","Fix data",IF(Settings!$C$14&lt;&gt;"OK","Fix settings",IF(Settings!$E$24&lt;&gt;"OK","Fix weights",IF(C18&lt;&gt;Settings!$C$6,"Different position",IF(D18&gt;Settings!$C$9,"Age limit",IF(E18&gt;Settings!$C$7,"Fee limit",IF(F18&gt;Settings!$C$8,"Wage limit",IF(G18&lt;Settings!$C$10,"Minutes limit","Eligible")))))))))</x:f>
        <x:v>Different position</x:v>
      </x:c>
      <x:c r="N18" s="2" t="str">
        <x:f>IF(M18="Eligible",COUNTIFS($M$2:$M$61,"Eligible",$K$2:$K$61,"&gt;"&amp;K18)+COUNTIFS($M$2:M18,"Eligible",$K$2:K18,K18),"")</x:f>
      </x:c>
      <x:c r="O18" s="17" t="n">
        <x:f>IF(COUNTA(Players!A18:N18)&gt;0,IF(Players!E18="","",Players!E18),"")</x:f>
        <x:v>800000</x:v>
      </x:c>
      <x:c r="P18" s="2" t="str">
        <x:f>IF(M18&lt;&gt;"Eligible","",COUNTIFS($M$2:$M$61,"Eligible",$K$2:$K$61,"&gt;"&amp;K18,$L$2:$L$61,"&lt;="&amp;L18)+COUNTIFS($M$2:$M$61,"Eligible",$K$2:$K$61,K18,$L$2:$L$61,"&lt;"&amp;L18))</x:f>
      </x:c>
      <x:c r="Q18" s="2" t="str">
        <x:f>IF(M18&lt;&gt;"Eligible","",IF(P18=0,"Frontier","Dominated"))</x:f>
      </x:c>
    </x:row>
    <x:row r="19" ht="23" customHeight="1">
      <x:c r="A19" s="2" t="str">
        <x:f>IF(COUNTA(Players!A19:N19)&gt;0,IF(Players!A19="","",Players!A19),"")</x:f>
        <x:v>P018</x:v>
      </x:c>
      <x:c r="B19" s="2" t="str">
        <x:f>IF(COUNTA(Players!A19:N19)&gt;0,IF(Players!B19="","",Players!B19),"")</x:f>
        <x:v>Alex Moreau</x:v>
      </x:c>
      <x:c r="C19" s="2" t="str">
        <x:f>IF(COUNTA(Players!A19:N19)&gt;0,IF(Players!C19="","",Players!C19),"")</x:f>
        <x:v>Midfielder</x:v>
      </x:c>
      <x:c r="D19" s="2" t="n">
        <x:f>IF(COUNTA(Players!A19:N19)&gt;0,IF(Players!D19="","",Players!D19),"")</x:f>
        <x:v>25</x:v>
      </x:c>
      <x:c r="E19" s="17" t="n">
        <x:f>IF(COUNTA(Players!A19:N19)&gt;0,IF(Players!F19="","",Players!F19),"")</x:f>
        <x:v>2100000</x:v>
      </x:c>
      <x:c r="F19" s="17" t="n">
        <x:f>IF(COUNTA(Players!A19:N19)&gt;0,IF(Players!G19="","",Players!G19),"")</x:f>
        <x:v>10000</x:v>
      </x:c>
      <x:c r="G19" s="2" t="n">
        <x:f>IF(COUNTA(Players!A19:N19)&gt;0,IF(Players!H19="","",Players!H19),"")</x:f>
        <x:v>1620</x:v>
      </x:c>
      <x:c r="H19" s="2" t="n">
        <x:f>IF(COUNTA(Players!A19:N19)&gt;0,COUNT(Players!I19:N19),"")</x:f>
        <x:v>6</x:v>
      </x:c>
      <x:c r="I19" s="2" t="n">
        <x:f>IF(COUNTA(Players!A19:N19)&gt;0,COUNTIF(Players!$A$2:$A$61,A19),"")</x:f>
        <x:v>1</x:v>
      </x:c>
      <x:c r="J19" s="2" t="str">
        <x:f>IF(NOT(COUNTA(Players!A19:N19)&gt;0),"",IF(OR(A19="",B19=""),"Missing identity",IF(I19&gt;1,"Duplicate ID",IF(OR(COUNT(Players!D19:H19)&lt;&gt;5,H19&lt;&gt;6),"Missing numeric data",IF(OR(D19&lt;15,D19&gt;50,O19&lt;0,E19&lt;O19,F19&lt;0,G19&lt;0,MIN(Players!I19:N19)&lt;1,MAX(Players!I19:N19)&gt;20,COUNTIF(Settings!$B$17:$B$20,C19)&lt;&gt;1),"Invalid input","OK")))))</x:f>
        <x:v>OK</x:v>
      </x:c>
      <x:c r="K19" s="19" t="n">
        <x:f>IF(AND(J19="OK",Settings!$E$24="OK",Settings!$C$14="OK"),SUMPRODUCT(Players!I19:N19,Settings!$C$22:$H$22)/20*100,"")</x:f>
        <x:v>73.50000000000001</x:v>
      </x:c>
      <x:c r="L19" s="17" t="n">
        <x:f>IF(J19="OK",E19+F19*Settings!$C$12*Settings!$C$11,"")</x:f>
        <x:v>3660000</x:v>
      </x:c>
      <x:c r="M19" s="2" t="str">
        <x:f>IF(J19="","",IF(J19&lt;&gt;"OK","Fix data",IF(Settings!$C$14&lt;&gt;"OK","Fix settings",IF(Settings!$E$24&lt;&gt;"OK","Fix weights",IF(C19&lt;&gt;Settings!$C$6,"Different position",IF(D19&gt;Settings!$C$9,"Age limit",IF(E19&gt;Settings!$C$7,"Fee limit",IF(F19&gt;Settings!$C$8,"Wage limit",IF(G19&lt;Settings!$C$10,"Minutes limit","Eligible")))))))))</x:f>
        <x:v>Eligible</x:v>
      </x:c>
      <x:c r="N19" s="2" t="n">
        <x:f>IF(M19="Eligible",COUNTIFS($M$2:$M$61,"Eligible",$K$2:$K$61,"&gt;"&amp;K19)+COUNTIFS($M$2:M19,"Eligible",$K$2:K19,K19),"")</x:f>
        <x:v>3</x:v>
      </x:c>
      <x:c r="O19" s="17" t="n">
        <x:f>IF(COUNTA(Players!A19:N19)&gt;0,IF(Players!E19="","",Players!E19),"")</x:f>
        <x:v>1200000</x:v>
      </x:c>
      <x:c r="P19" s="2" t="n">
        <x:f>IF(M19&lt;&gt;"Eligible","",COUNTIFS($M$2:$M$61,"Eligible",$K$2:$K$61,"&gt;"&amp;K19,$L$2:$L$61,"&lt;="&amp;L19)+COUNTIFS($M$2:$M$61,"Eligible",$K$2:$K$61,K19,$L$2:$L$61,"&lt;"&amp;L19))</x:f>
        <x:v>1</x:v>
      </x:c>
      <x:c r="Q19" s="2" t="str">
        <x:f>IF(M19&lt;&gt;"Eligible","",IF(P19=0,"Frontier","Dominated"))</x:f>
        <x:v>Dominated</x:v>
      </x:c>
    </x:row>
    <x:row r="20" ht="23" customHeight="1">
      <x:c r="A20" s="2" t="str">
        <x:f>IF(COUNTA(Players!A20:N20)&gt;0,IF(Players!A20="","",Players!A20),"")</x:f>
        <x:v>P019</x:v>
      </x:c>
      <x:c r="B20" s="2" t="str">
        <x:f>IF(COUNTA(Players!A20:N20)&gt;0,IF(Players!B20="","",Players!B20),"")</x:f>
        <x:v>Nico Hart</x:v>
      </x:c>
      <x:c r="C20" s="2" t="str">
        <x:f>IF(COUNTA(Players!A20:N20)&gt;0,IF(Players!C20="","",Players!C20),"")</x:f>
        <x:v>Striker</x:v>
      </x:c>
      <x:c r="D20" s="2" t="n">
        <x:f>IF(COUNTA(Players!A20:N20)&gt;0,IF(Players!D20="","",Players!D20),"")</x:f>
        <x:v>26</x:v>
      </x:c>
      <x:c r="E20" s="17" t="n">
        <x:f>IF(COUNTA(Players!A20:N20)&gt;0,IF(Players!F20="","",Players!F20),"")</x:f>
        <x:v>2100000</x:v>
      </x:c>
      <x:c r="F20" s="17" t="n">
        <x:f>IF(COUNTA(Players!A20:N20)&gt;0,IF(Players!G20="","",Players!G20),"")</x:f>
        <x:v>13000</x:v>
      </x:c>
      <x:c r="G20" s="2" t="n">
        <x:f>IF(COUNTA(Players!A20:N20)&gt;0,IF(Players!H20="","",Players!H20),"")</x:f>
        <x:v>1980</x:v>
      </x:c>
      <x:c r="H20" s="2" t="n">
        <x:f>IF(COUNTA(Players!A20:N20)&gt;0,COUNT(Players!I20:N20),"")</x:f>
        <x:v>6</x:v>
      </x:c>
      <x:c r="I20" s="2" t="n">
        <x:f>IF(COUNTA(Players!A20:N20)&gt;0,COUNTIF(Players!$A$2:$A$61,A20),"")</x:f>
        <x:v>1</x:v>
      </x:c>
      <x:c r="J20" s="2" t="str">
        <x:f>IF(NOT(COUNTA(Players!A20:N20)&gt;0),"",IF(OR(A20="",B20=""),"Missing identity",IF(I20&gt;1,"Duplicate ID",IF(OR(COUNT(Players!D20:H20)&lt;&gt;5,H20&lt;&gt;6),"Missing numeric data",IF(OR(D20&lt;15,D20&gt;50,O20&lt;0,E20&lt;O20,F20&lt;0,G20&lt;0,MIN(Players!I20:N20)&lt;1,MAX(Players!I20:N20)&gt;20,COUNTIF(Settings!$B$17:$B$20,C20)&lt;&gt;1),"Invalid input","OK")))))</x:f>
        <x:v>OK</x:v>
      </x:c>
      <x:c r="K20" s="19" t="n">
        <x:f>IF(AND(J20="OK",Settings!$E$24="OK",Settings!$C$14="OK"),SUMPRODUCT(Players!I20:N20,Settings!$C$22:$H$22)/20*100,"")</x:f>
        <x:v>67.25</x:v>
      </x:c>
      <x:c r="L20" s="17" t="n">
        <x:f>IF(J20="OK",E20+F20*Settings!$C$12*Settings!$C$11,"")</x:f>
        <x:v>4128000</x:v>
      </x:c>
      <x:c r="M20" s="2" t="str">
        <x:f>IF(J20="","",IF(J20&lt;&gt;"OK","Fix data",IF(Settings!$C$14&lt;&gt;"OK","Fix settings",IF(Settings!$E$24&lt;&gt;"OK","Fix weights",IF(C20&lt;&gt;Settings!$C$6,"Different position",IF(D20&gt;Settings!$C$9,"Age limit",IF(E20&gt;Settings!$C$7,"Fee limit",IF(F20&gt;Settings!$C$8,"Wage limit",IF(G20&lt;Settings!$C$10,"Minutes limit","Eligible")))))))))</x:f>
        <x:v>Different position</x:v>
      </x:c>
      <x:c r="N20" s="2" t="str">
        <x:f>IF(M20="Eligible",COUNTIFS($M$2:$M$61,"Eligible",$K$2:$K$61,"&gt;"&amp;K20)+COUNTIFS($M$2:M20,"Eligible",$K$2:K20,K20),"")</x:f>
      </x:c>
      <x:c r="O20" s="17" t="n">
        <x:f>IF(COUNTA(Players!A20:N20)&gt;0,IF(Players!E20="","",Players!E20),"")</x:f>
        <x:v>1600000</x:v>
      </x:c>
      <x:c r="P20" s="2" t="str">
        <x:f>IF(M20&lt;&gt;"Eligible","",COUNTIFS($M$2:$M$61,"Eligible",$K$2:$K$61,"&gt;"&amp;K20,$L$2:$L$61,"&lt;="&amp;L20)+COUNTIFS($M$2:$M$61,"Eligible",$K$2:$K$61,K20,$L$2:$L$61,"&lt;"&amp;L20))</x:f>
      </x:c>
      <x:c r="Q20" s="2" t="str">
        <x:f>IF(M20&lt;&gt;"Eligible","",IF(P20=0,"Frontier","Dominated"))</x:f>
      </x:c>
    </x:row>
    <x:row r="21" ht="23" customHeight="1">
      <x:c r="A21" s="2" t="str">
        <x:f>IF(COUNTA(Players!A21:N21)&gt;0,IF(Players!A21="","",Players!A21),"")</x:f>
        <x:v>P020</x:v>
      </x:c>
      <x:c r="B21" s="2" t="str">
        <x:f>IF(COUNTA(Players!A21:N21)&gt;0,IF(Players!B21="","",Players!B21),"")</x:f>
        <x:v>Leon Birch</x:v>
      </x:c>
      <x:c r="C21" s="2" t="str">
        <x:f>IF(COUNTA(Players!A21:N21)&gt;0,IF(Players!C21="","",Players!C21),"")</x:f>
        <x:v>Wide forward</x:v>
      </x:c>
      <x:c r="D21" s="2" t="n">
        <x:f>IF(COUNTA(Players!A21:N21)&gt;0,IF(Players!D21="","",Players!D21),"")</x:f>
        <x:v>27</x:v>
      </x:c>
      <x:c r="E21" s="17" t="n">
        <x:f>IF(COUNTA(Players!A21:N21)&gt;0,IF(Players!F21="","",Players!F21),"")</x:f>
        <x:v>2700000</x:v>
      </x:c>
      <x:c r="F21" s="17" t="n">
        <x:f>IF(COUNTA(Players!A21:N21)&gt;0,IF(Players!G21="","",Players!G21),"")</x:f>
        <x:v>16000</x:v>
      </x:c>
      <x:c r="G21" s="2" t="n">
        <x:f>IF(COUNTA(Players!A21:N21)&gt;0,IF(Players!H21="","",Players!H21),"")</x:f>
        <x:v>2340</x:v>
      </x:c>
      <x:c r="H21" s="2" t="n">
        <x:f>IF(COUNTA(Players!A21:N21)&gt;0,COUNT(Players!I21:N21),"")</x:f>
        <x:v>6</x:v>
      </x:c>
      <x:c r="I21" s="2" t="n">
        <x:f>IF(COUNTA(Players!A21:N21)&gt;0,COUNTIF(Players!$A$2:$A$61,A21),"")</x:f>
        <x:v>1</x:v>
      </x:c>
      <x:c r="J21" s="2" t="str">
        <x:f>IF(NOT(COUNTA(Players!A21:N21)&gt;0),"",IF(OR(A21="",B21=""),"Missing identity",IF(I21&gt;1,"Duplicate ID",IF(OR(COUNT(Players!D21:H21)&lt;&gt;5,H21&lt;&gt;6),"Missing numeric data",IF(OR(D21&lt;15,D21&gt;50,O21&lt;0,E21&lt;O21,F21&lt;0,G21&lt;0,MIN(Players!I21:N21)&lt;1,MAX(Players!I21:N21)&gt;20,COUNTIF(Settings!$B$17:$B$20,C21)&lt;&gt;1),"Invalid input","OK")))))</x:f>
        <x:v>OK</x:v>
      </x:c>
      <x:c r="K21" s="19" t="n">
        <x:f>IF(AND(J21="OK",Settings!$E$24="OK",Settings!$C$14="OK"),SUMPRODUCT(Players!I21:N21,Settings!$C$22:$H$22)/20*100,"")</x:f>
        <x:v>65</x:v>
      </x:c>
      <x:c r="L21" s="17" t="n">
        <x:f>IF(J21="OK",E21+F21*Settings!$C$12*Settings!$C$11,"")</x:f>
        <x:v>5196000</x:v>
      </x:c>
      <x:c r="M21" s="2" t="str">
        <x:f>IF(J21="","",IF(J21&lt;&gt;"OK","Fix data",IF(Settings!$C$14&lt;&gt;"OK","Fix settings",IF(Settings!$E$24&lt;&gt;"OK","Fix weights",IF(C21&lt;&gt;Settings!$C$6,"Different position",IF(D21&gt;Settings!$C$9,"Age limit",IF(E21&gt;Settings!$C$7,"Fee limit",IF(F21&gt;Settings!$C$8,"Wage limit",IF(G21&lt;Settings!$C$10,"Minutes limit","Eligible")))))))))</x:f>
        <x:v>Different position</x:v>
      </x:c>
      <x:c r="N21" s="2" t="str">
        <x:f>IF(M21="Eligible",COUNTIFS($M$2:$M$61,"Eligible",$K$2:$K$61,"&gt;"&amp;K21)+COUNTIFS($M$2:M21,"Eligible",$K$2:K21,K21),"")</x:f>
      </x:c>
      <x:c r="O21" s="17" t="n">
        <x:f>IF(COUNTA(Players!A21:N21)&gt;0,IF(Players!E21="","",Players!E21),"")</x:f>
        <x:v>2000000</x:v>
      </x:c>
      <x:c r="P21" s="2" t="str">
        <x:f>IF(M21&lt;&gt;"Eligible","",COUNTIFS($M$2:$M$61,"Eligible",$K$2:$K$61,"&gt;"&amp;K21,$L$2:$L$61,"&lt;="&amp;L21)+COUNTIFS($M$2:$M$61,"Eligible",$K$2:$K$61,K21,$L$2:$L$61,"&lt;"&amp;L21))</x:f>
      </x:c>
      <x:c r="Q21" s="2" t="str">
        <x:f>IF(M21&lt;&gt;"Eligible","",IF(P21=0,"Frontier","Dominated"))</x:f>
      </x:c>
    </x:row>
    <x:row r="22" ht="23" customHeight="1">
      <x:c r="A22" s="2" t="str">
        <x:f>IF(COUNTA(Players!A22:N22)&gt;0,IF(Players!A22="","",Players!A22),"")</x:f>
        <x:v>P021</x:v>
      </x:c>
      <x:c r="B22" s="2" t="str">
        <x:f>IF(COUNTA(Players!A22:N22)&gt;0,IF(Players!B22="","",Players!B22),"")</x:f>
        <x:v>Rory Silva</x:v>
      </x:c>
      <x:c r="C22" s="2" t="str">
        <x:f>IF(COUNTA(Players!A22:N22)&gt;0,IF(Players!C22="","",Players!C22),"")</x:f>
        <x:v>Centre-back</x:v>
      </x:c>
      <x:c r="D22" s="2" t="n">
        <x:f>IF(COUNTA(Players!A22:N22)&gt;0,IF(Players!D22="","",Players!D22),"")</x:f>
        <x:v>28</x:v>
      </x:c>
      <x:c r="E22" s="17" t="n">
        <x:f>IF(COUNTA(Players!A22:N22)&gt;0,IF(Players!F22="","",Players!F22),"")</x:f>
        <x:v>3300000</x:v>
      </x:c>
      <x:c r="F22" s="17" t="n">
        <x:f>IF(COUNTA(Players!A22:N22)&gt;0,IF(Players!G22="","",Players!G22),"")</x:f>
        <x:v>19000</x:v>
      </x:c>
      <x:c r="G22" s="2" t="n">
        <x:f>IF(COUNTA(Players!A22:N22)&gt;0,IF(Players!H22="","",Players!H22),"")</x:f>
        <x:v>2700</x:v>
      </x:c>
      <x:c r="H22" s="2" t="n">
        <x:f>IF(COUNTA(Players!A22:N22)&gt;0,COUNT(Players!I22:N22),"")</x:f>
        <x:v>6</x:v>
      </x:c>
      <x:c r="I22" s="2" t="n">
        <x:f>IF(COUNTA(Players!A22:N22)&gt;0,COUNTIF(Players!$A$2:$A$61,A22),"")</x:f>
        <x:v>1</x:v>
      </x:c>
      <x:c r="J22" s="2" t="str">
        <x:f>IF(NOT(COUNTA(Players!A22:N22)&gt;0),"",IF(OR(A22="",B22=""),"Missing identity",IF(I22&gt;1,"Duplicate ID",IF(OR(COUNT(Players!D22:H22)&lt;&gt;5,H22&lt;&gt;6),"Missing numeric data",IF(OR(D22&lt;15,D22&gt;50,O22&lt;0,E22&lt;O22,F22&lt;0,G22&lt;0,MIN(Players!I22:N22)&lt;1,MAX(Players!I22:N22)&gt;20,COUNTIF(Settings!$B$17:$B$20,C22)&lt;&gt;1),"Invalid input","OK")))))</x:f>
        <x:v>OK</x:v>
      </x:c>
      <x:c r="K22" s="19" t="n">
        <x:f>IF(AND(J22="OK",Settings!$E$24="OK",Settings!$C$14="OK"),SUMPRODUCT(Players!I22:N22,Settings!$C$22:$H$22)/20*100,"")</x:f>
        <x:v>58.50000000000001</x:v>
      </x:c>
      <x:c r="L22" s="17" t="n">
        <x:f>IF(J22="OK",E22+F22*Settings!$C$12*Settings!$C$11,"")</x:f>
        <x:v>6264000</x:v>
      </x:c>
      <x:c r="M22" s="2" t="str">
        <x:f>IF(J22="","",IF(J22&lt;&gt;"OK","Fix data",IF(Settings!$C$14&lt;&gt;"OK","Fix settings",IF(Settings!$E$24&lt;&gt;"OK","Fix weights",IF(C22&lt;&gt;Settings!$C$6,"Different position",IF(D22&gt;Settings!$C$9,"Age limit",IF(E22&gt;Settings!$C$7,"Fee limit",IF(F22&gt;Settings!$C$8,"Wage limit",IF(G22&lt;Settings!$C$10,"Minutes limit","Eligible")))))))))</x:f>
        <x:v>Different position</x:v>
      </x:c>
      <x:c r="N22" s="2" t="str">
        <x:f>IF(M22="Eligible",COUNTIFS($M$2:$M$61,"Eligible",$K$2:$K$61,"&gt;"&amp;K22)+COUNTIFS($M$2:M22,"Eligible",$K$2:K22,K22),"")</x:f>
      </x:c>
      <x:c r="O22" s="17" t="n">
        <x:f>IF(COUNTA(Players!A22:N22)&gt;0,IF(Players!E22="","",Players!E22),"")</x:f>
        <x:v>2400000</x:v>
      </x:c>
      <x:c r="P22" s="2" t="str">
        <x:f>IF(M22&lt;&gt;"Eligible","",COUNTIFS($M$2:$M$61,"Eligible",$K$2:$K$61,"&gt;"&amp;K22,$L$2:$L$61,"&lt;="&amp;L22)+COUNTIFS($M$2:$M$61,"Eligible",$K$2:$K$61,K22,$L$2:$L$61,"&lt;"&amp;L22))</x:f>
      </x:c>
      <x:c r="Q22" s="2" t="str">
        <x:f>IF(M22&lt;&gt;"Eligible","",IF(P22=0,"Frontier","Dominated"))</x:f>
      </x:c>
    </x:row>
    <x:row r="23" ht="23" customHeight="1">
      <x:c r="A23" s="2" t="str">
        <x:f>IF(COUNTA(Players!A23:N23)&gt;0,IF(Players!A23="","",Players!A23),"")</x:f>
        <x:v>P022</x:v>
      </x:c>
      <x:c r="B23" s="2" t="str">
        <x:f>IF(COUNTA(Players!A23:N23)&gt;0,IF(Players!B23="","",Players!B23),"")</x:f>
        <x:v>Jude Moss</x:v>
      </x:c>
      <x:c r="C23" s="2" t="str">
        <x:f>IF(COUNTA(Players!A23:N23)&gt;0,IF(Players!C23="","",Players!C23),"")</x:f>
        <x:v>Midfielder</x:v>
      </x:c>
      <x:c r="D23" s="2" t="n">
        <x:f>IF(COUNTA(Players!A23:N23)&gt;0,IF(Players!D23="","",Players!D23),"")</x:f>
        <x:v>29</x:v>
      </x:c>
      <x:c r="E23" s="17" t="n">
        <x:f>IF(COUNTA(Players!A23:N23)&gt;0,IF(Players!F23="","",Players!F23),"")</x:f>
        <x:v>3300000</x:v>
      </x:c>
      <x:c r="F23" s="17" t="n">
        <x:f>IF(COUNTA(Players!A23:N23)&gt;0,IF(Players!G23="","",Players!G23),"")</x:f>
        <x:v>22000</x:v>
      </x:c>
      <x:c r="G23" s="2" t="n">
        <x:f>IF(COUNTA(Players!A23:N23)&gt;0,IF(Players!H23="","",Players!H23),"")</x:f>
        <x:v>540</x:v>
      </x:c>
      <x:c r="H23" s="2" t="n">
        <x:f>IF(COUNTA(Players!A23:N23)&gt;0,COUNT(Players!I23:N23),"")</x:f>
        <x:v>6</x:v>
      </x:c>
      <x:c r="I23" s="2" t="n">
        <x:f>IF(COUNTA(Players!A23:N23)&gt;0,COUNTIF(Players!$A$2:$A$61,A23),"")</x:f>
        <x:v>1</x:v>
      </x:c>
      <x:c r="J23" s="2" t="str">
        <x:f>IF(NOT(COUNTA(Players!A23:N23)&gt;0),"",IF(OR(A23="",B23=""),"Missing identity",IF(I23&gt;1,"Duplicate ID",IF(OR(COUNT(Players!D23:H23)&lt;&gt;5,H23&lt;&gt;6),"Missing numeric data",IF(OR(D23&lt;15,D23&gt;50,O23&lt;0,E23&lt;O23,F23&lt;0,G23&lt;0,MIN(Players!I23:N23)&lt;1,MAX(Players!I23:N23)&gt;20,COUNTIF(Settings!$B$17:$B$20,C23)&lt;&gt;1),"Invalid input","OK")))))</x:f>
        <x:v>OK</x:v>
      </x:c>
      <x:c r="K23" s="19" t="n">
        <x:f>IF(AND(J23="OK",Settings!$E$24="OK",Settings!$C$14="OK"),SUMPRODUCT(Players!I23:N23,Settings!$C$22:$H$22)/20*100,"")</x:f>
        <x:v>67.00000000000001</x:v>
      </x:c>
      <x:c r="L23" s="17" t="n">
        <x:f>IF(J23="OK",E23+F23*Settings!$C$12*Settings!$C$11,"")</x:f>
        <x:v>6732000</x:v>
      </x:c>
      <x:c r="M23" s="2" t="str">
        <x:f>IF(J23="","",IF(J23&lt;&gt;"OK","Fix data",IF(Settings!$C$14&lt;&gt;"OK","Fix settings",IF(Settings!$E$24&lt;&gt;"OK","Fix weights",IF(C23&lt;&gt;Settings!$C$6,"Different position",IF(D23&gt;Settings!$C$9,"Age limit",IF(E23&gt;Settings!$C$7,"Fee limit",IF(F23&gt;Settings!$C$8,"Wage limit",IF(G23&lt;Settings!$C$10,"Minutes limit","Eligible")))))))))</x:f>
        <x:v>Age limit</x:v>
      </x:c>
      <x:c r="N23" s="2" t="str">
        <x:f>IF(M23="Eligible",COUNTIFS($M$2:$M$61,"Eligible",$K$2:$K$61,"&gt;"&amp;K23)+COUNTIFS($M$2:M23,"Eligible",$K$2:K23,K23),"")</x:f>
      </x:c>
      <x:c r="O23" s="17" t="n">
        <x:f>IF(COUNTA(Players!A23:N23)&gt;0,IF(Players!E23="","",Players!E23),"")</x:f>
        <x:v>2800000</x:v>
      </x:c>
      <x:c r="P23" s="2" t="str">
        <x:f>IF(M23&lt;&gt;"Eligible","",COUNTIFS($M$2:$M$61,"Eligible",$K$2:$K$61,"&gt;"&amp;K23,$L$2:$L$61,"&lt;="&amp;L23)+COUNTIFS($M$2:$M$61,"Eligible",$K$2:$K$61,K23,$L$2:$L$61,"&lt;"&amp;L23))</x:f>
      </x:c>
      <x:c r="Q23" s="2" t="str">
        <x:f>IF(M23&lt;&gt;"Eligible","",IF(P23=0,"Frontier","Dominated"))</x:f>
      </x:c>
    </x:row>
    <x:row r="24" ht="23" customHeight="1">
      <x:c r="A24" s="2" t="str">
        <x:f>IF(COUNTA(Players!A24:N24)&gt;0,IF(Players!A24="","",Players!A24),"")</x:f>
        <x:v>P023</x:v>
      </x:c>
      <x:c r="B24" s="2" t="str">
        <x:f>IF(COUNTA(Players!A24:N24)&gt;0,IF(Players!B24="","",Players!B24),"")</x:f>
        <x:v>Max Arlen</x:v>
      </x:c>
      <x:c r="C24" s="2" t="str">
        <x:f>IF(COUNTA(Players!A24:N24)&gt;0,IF(Players!C24="","",Players!C24),"")</x:f>
        <x:v>Striker</x:v>
      </x:c>
      <x:c r="D24" s="2" t="n">
        <x:f>IF(COUNTA(Players!A24:N24)&gt;0,IF(Players!D24="","",Players!D24),"")</x:f>
        <x:v>19</x:v>
      </x:c>
      <x:c r="E24" s="17" t="n">
        <x:f>IF(COUNTA(Players!A24:N24)&gt;0,IF(Players!F24="","",Players!F24),"")</x:f>
        <x:v>3900000</x:v>
      </x:c>
      <x:c r="F24" s="17" t="n">
        <x:f>IF(COUNTA(Players!A24:N24)&gt;0,IF(Players!G24="","",Players!G24),"")</x:f>
        <x:v>25000</x:v>
      </x:c>
      <x:c r="G24" s="2" t="n">
        <x:f>IF(COUNTA(Players!A24:N24)&gt;0,IF(Players!H24="","",Players!H24),"")</x:f>
        <x:v>900</x:v>
      </x:c>
      <x:c r="H24" s="2" t="n">
        <x:f>IF(COUNTA(Players!A24:N24)&gt;0,COUNT(Players!I24:N24),"")</x:f>
        <x:v>6</x:v>
      </x:c>
      <x:c r="I24" s="2" t="n">
        <x:f>IF(COUNTA(Players!A24:N24)&gt;0,COUNTIF(Players!$A$2:$A$61,A24),"")</x:f>
        <x:v>1</x:v>
      </x:c>
      <x:c r="J24" s="2" t="str">
        <x:f>IF(NOT(COUNTA(Players!A24:N24)&gt;0),"",IF(OR(A24="",B24=""),"Missing identity",IF(I24&gt;1,"Duplicate ID",IF(OR(COUNT(Players!D24:H24)&lt;&gt;5,H24&lt;&gt;6),"Missing numeric data",IF(OR(D24&lt;15,D24&gt;50,O24&lt;0,E24&lt;O24,F24&lt;0,G24&lt;0,MIN(Players!I24:N24)&lt;1,MAX(Players!I24:N24)&gt;20,COUNTIF(Settings!$B$17:$B$20,C24)&lt;&gt;1),"Invalid input","OK")))))</x:f>
        <x:v>OK</x:v>
      </x:c>
      <x:c r="K24" s="19" t="n">
        <x:f>IF(AND(J24="OK",Settings!$E$24="OK",Settings!$C$14="OK"),SUMPRODUCT(Players!I24:N24,Settings!$C$22:$H$22)/20*100,"")</x:f>
        <x:v>65.5</x:v>
      </x:c>
      <x:c r="L24" s="17" t="n">
        <x:f>IF(J24="OK",E24+F24*Settings!$C$12*Settings!$C$11,"")</x:f>
        <x:v>7800000</x:v>
      </x:c>
      <x:c r="M24" s="2" t="str">
        <x:f>IF(J24="","",IF(J24&lt;&gt;"OK","Fix data",IF(Settings!$C$14&lt;&gt;"OK","Fix settings",IF(Settings!$E$24&lt;&gt;"OK","Fix weights",IF(C24&lt;&gt;Settings!$C$6,"Different position",IF(D24&gt;Settings!$C$9,"Age limit",IF(E24&gt;Settings!$C$7,"Fee limit",IF(F24&gt;Settings!$C$8,"Wage limit",IF(G24&lt;Settings!$C$10,"Minutes limit","Eligible")))))))))</x:f>
        <x:v>Different position</x:v>
      </x:c>
      <x:c r="N24" s="2" t="str">
        <x:f>IF(M24="Eligible",COUNTIFS($M$2:$M$61,"Eligible",$K$2:$K$61,"&gt;"&amp;K24)+COUNTIFS($M$2:M24,"Eligible",$K$2:K24,K24),"")</x:f>
      </x:c>
      <x:c r="O24" s="17" t="n">
        <x:f>IF(COUNTA(Players!A24:N24)&gt;0,IF(Players!E24="","",Players!E24),"")</x:f>
        <x:v>3200000</x:v>
      </x:c>
      <x:c r="P24" s="2" t="str">
        <x:f>IF(M24&lt;&gt;"Eligible","",COUNTIFS($M$2:$M$61,"Eligible",$K$2:$K$61,"&gt;"&amp;K24,$L$2:$L$61,"&lt;="&amp;L24)+COUNTIFS($M$2:$M$61,"Eligible",$K$2:$K$61,K24,$L$2:$L$61,"&lt;"&amp;L24))</x:f>
      </x:c>
      <x:c r="Q24" s="2" t="str">
        <x:f>IF(M24&lt;&gt;"Eligible","",IF(P24=0,"Frontier","Dominated"))</x:f>
      </x:c>
    </x:row>
    <x:row r="25" ht="23" customHeight="1">
      <x:c r="A25" s="2" t="str">
        <x:f>IF(COUNTA(Players!A25:N25)&gt;0,IF(Players!A25="","",Players!A25),"")</x:f>
        <x:v>P024</x:v>
      </x:c>
      <x:c r="B25" s="2" t="str">
        <x:f>IF(COUNTA(Players!A25:N25)&gt;0,IF(Players!B25="","",Players!B25),"")</x:f>
        <x:v>Owen Frost</x:v>
      </x:c>
      <x:c r="C25" s="2" t="str">
        <x:f>IF(COUNTA(Players!A25:N25)&gt;0,IF(Players!C25="","",Players!C25),"")</x:f>
        <x:v>Wide forward</x:v>
      </x:c>
      <x:c r="D25" s="2" t="n">
        <x:f>IF(COUNTA(Players!A25:N25)&gt;0,IF(Players!D25="","",Players!D25),"")</x:f>
        <x:v>20</x:v>
      </x:c>
      <x:c r="E25" s="17" t="n">
        <x:f>IF(COUNTA(Players!A25:N25)&gt;0,IF(Players!F25="","",Players!F25),"")</x:f>
        <x:v>4500000</x:v>
      </x:c>
      <x:c r="F25" s="17" t="n">
        <x:f>IF(COUNTA(Players!A25:N25)&gt;0,IF(Players!G25="","",Players!G25),"")</x:f>
        <x:v>28000</x:v>
      </x:c>
      <x:c r="G25" s="2" t="n">
        <x:f>IF(COUNTA(Players!A25:N25)&gt;0,IF(Players!H25="","",Players!H25),"")</x:f>
        <x:v>1260</x:v>
      </x:c>
      <x:c r="H25" s="2" t="n">
        <x:f>IF(COUNTA(Players!A25:N25)&gt;0,COUNT(Players!I25:N25),"")</x:f>
        <x:v>6</x:v>
      </x:c>
      <x:c r="I25" s="2" t="n">
        <x:f>IF(COUNTA(Players!A25:N25)&gt;0,COUNTIF(Players!$A$2:$A$61,A25),"")</x:f>
        <x:v>1</x:v>
      </x:c>
      <x:c r="J25" s="2" t="str">
        <x:f>IF(NOT(COUNTA(Players!A25:N25)&gt;0),"",IF(OR(A25="",B25=""),"Missing identity",IF(I25&gt;1,"Duplicate ID",IF(OR(COUNT(Players!D25:H25)&lt;&gt;5,H25&lt;&gt;6),"Missing numeric data",IF(OR(D25&lt;15,D25&gt;50,O25&lt;0,E25&lt;O25,F25&lt;0,G25&lt;0,MIN(Players!I25:N25)&lt;1,MAX(Players!I25:N25)&gt;20,COUNTIF(Settings!$B$17:$B$20,C25)&lt;&gt;1),"Invalid input","OK")))))</x:f>
        <x:v>OK</x:v>
      </x:c>
      <x:c r="K25" s="19" t="n">
        <x:f>IF(AND(J25="OK",Settings!$E$24="OK",Settings!$C$14="OK"),SUMPRODUCT(Players!I25:N25,Settings!$C$22:$H$22)/20*100,"")</x:f>
        <x:v>66.5</x:v>
      </x:c>
      <x:c r="L25" s="17" t="n">
        <x:f>IF(J25="OK",E25+F25*Settings!$C$12*Settings!$C$11,"")</x:f>
        <x:v>8868000</x:v>
      </x:c>
      <x:c r="M25" s="2" t="str">
        <x:f>IF(J25="","",IF(J25&lt;&gt;"OK","Fix data",IF(Settings!$C$14&lt;&gt;"OK","Fix settings",IF(Settings!$E$24&lt;&gt;"OK","Fix weights",IF(C25&lt;&gt;Settings!$C$6,"Different position",IF(D25&gt;Settings!$C$9,"Age limit",IF(E25&gt;Settings!$C$7,"Fee limit",IF(F25&gt;Settings!$C$8,"Wage limit",IF(G25&lt;Settings!$C$10,"Minutes limit","Eligible")))))))))</x:f>
        <x:v>Different position</x:v>
      </x:c>
      <x:c r="N25" s="2" t="str">
        <x:f>IF(M25="Eligible",COUNTIFS($M$2:$M$61,"Eligible",$K$2:$K$61,"&gt;"&amp;K25)+COUNTIFS($M$2:M25,"Eligible",$K$2:K25,K25),"")</x:f>
      </x:c>
      <x:c r="O25" s="17" t="n">
        <x:f>IF(COUNTA(Players!A25:N25)&gt;0,IF(Players!E25="","",Players!E25),"")</x:f>
        <x:v>3600000</x:v>
      </x:c>
      <x:c r="P25" s="2" t="str">
        <x:f>IF(M25&lt;&gt;"Eligible","",COUNTIFS($M$2:$M$61,"Eligible",$K$2:$K$61,"&gt;"&amp;K25,$L$2:$L$61,"&lt;="&amp;L25)+COUNTIFS($M$2:$M$61,"Eligible",$K$2:$K$61,K25,$L$2:$L$61,"&lt;"&amp;L25))</x:f>
      </x:c>
      <x:c r="Q25" s="2" t="str">
        <x:f>IF(M25&lt;&gt;"Eligible","",IF(P25=0,"Frontier","Dominated"))</x:f>
      </x:c>
    </x:row>
    <x:row r="26" ht="23" customHeight="1">
      <x:c r="A26" s="2" t="str">
        <x:f>IF(COUNTA(Players!A26:N26)&gt;0,IF(Players!A26="","",Players!A26),"")</x:f>
        <x:v>P025</x:v>
      </x:c>
      <x:c r="B26" s="2" t="str">
        <x:f>IF(COUNTA(Players!A26:N26)&gt;0,IF(Players!B26="","",Players!B26),"")</x:f>
        <x:v>Ryan Kaye</x:v>
      </x:c>
      <x:c r="C26" s="2" t="str">
        <x:f>IF(COUNTA(Players!A26:N26)&gt;0,IF(Players!C26="","",Players!C26),"")</x:f>
        <x:v>Centre-back</x:v>
      </x:c>
      <x:c r="D26" s="2" t="n">
        <x:f>IF(COUNTA(Players!A26:N26)&gt;0,IF(Players!D26="","",Players!D26),"")</x:f>
        <x:v>21</x:v>
      </x:c>
      <x:c r="E26" s="17" t="n">
        <x:f>IF(COUNTA(Players!A26:N26)&gt;0,IF(Players!F26="","",Players!F26),"")</x:f>
        <x:v>1300000</x:v>
      </x:c>
      <x:c r="F26" s="17" t="n">
        <x:f>IF(COUNTA(Players!A26:N26)&gt;0,IF(Players!G26="","",Players!G26),"")</x:f>
        <x:v>7000</x:v>
      </x:c>
      <x:c r="G26" s="2" t="n">
        <x:f>IF(COUNTA(Players!A26:N26)&gt;0,IF(Players!H26="","",Players!H26),"")</x:f>
        <x:v>1620</x:v>
      </x:c>
      <x:c r="H26" s="2" t="n">
        <x:f>IF(COUNTA(Players!A26:N26)&gt;0,COUNT(Players!I26:N26),"")</x:f>
        <x:v>6</x:v>
      </x:c>
      <x:c r="I26" s="2" t="n">
        <x:f>IF(COUNTA(Players!A26:N26)&gt;0,COUNTIF(Players!$A$2:$A$61,A26),"")</x:f>
        <x:v>1</x:v>
      </x:c>
      <x:c r="J26" s="2" t="str">
        <x:f>IF(NOT(COUNTA(Players!A26:N26)&gt;0),"",IF(OR(A26="",B26=""),"Missing identity",IF(I26&gt;1,"Duplicate ID",IF(OR(COUNT(Players!D26:H26)&lt;&gt;5,H26&lt;&gt;6),"Missing numeric data",IF(OR(D26&lt;15,D26&gt;50,O26&lt;0,E26&lt;O26,F26&lt;0,G26&lt;0,MIN(Players!I26:N26)&lt;1,MAX(Players!I26:N26)&gt;20,COUNTIF(Settings!$B$17:$B$20,C26)&lt;&gt;1),"Invalid input","OK")))))</x:f>
        <x:v>OK</x:v>
      </x:c>
      <x:c r="K26" s="19" t="n">
        <x:f>IF(AND(J26="OK",Settings!$E$24="OK",Settings!$C$14="OK"),SUMPRODUCT(Players!I26:N26,Settings!$C$22:$H$22)/20*100,"")</x:f>
        <x:v>59.50000000000001</x:v>
      </x:c>
      <x:c r="L26" s="17" t="n">
        <x:f>IF(J26="OK",E26+F26*Settings!$C$12*Settings!$C$11,"")</x:f>
        <x:v>2392000</x:v>
      </x:c>
      <x:c r="M26" s="2" t="str">
        <x:f>IF(J26="","",IF(J26&lt;&gt;"OK","Fix data",IF(Settings!$C$14&lt;&gt;"OK","Fix settings",IF(Settings!$E$24&lt;&gt;"OK","Fix weights",IF(C26&lt;&gt;Settings!$C$6,"Different position",IF(D26&gt;Settings!$C$9,"Age limit",IF(E26&gt;Settings!$C$7,"Fee limit",IF(F26&gt;Settings!$C$8,"Wage limit",IF(G26&lt;Settings!$C$10,"Minutes limit","Eligible")))))))))</x:f>
        <x:v>Different position</x:v>
      </x:c>
      <x:c r="N26" s="2" t="str">
        <x:f>IF(M26="Eligible",COUNTIFS($M$2:$M$61,"Eligible",$K$2:$K$61,"&gt;"&amp;K26)+COUNTIFS($M$2:M26,"Eligible",$K$2:K26,K26),"")</x:f>
      </x:c>
      <x:c r="O26" s="17" t="n">
        <x:f>IF(COUNTA(Players!A26:N26)&gt;0,IF(Players!E26="","",Players!E26),"")</x:f>
        <x:v>800000</x:v>
      </x:c>
      <x:c r="P26" s="2" t="str">
        <x:f>IF(M26&lt;&gt;"Eligible","",COUNTIFS($M$2:$M$61,"Eligible",$K$2:$K$61,"&gt;"&amp;K26,$L$2:$L$61,"&lt;="&amp;L26)+COUNTIFS($M$2:$M$61,"Eligible",$K$2:$K$61,K26,$L$2:$L$61,"&lt;"&amp;L26))</x:f>
      </x:c>
      <x:c r="Q26" s="2" t="str">
        <x:f>IF(M26&lt;&gt;"Eligible","",IF(P26=0,"Frontier","Dominated"))</x:f>
      </x:c>
    </x:row>
    <x:row r="27" ht="23" customHeight="1">
      <x:c r="A27" s="2" t="str">
        <x:f>IF(COUNTA(Players!A27:N27)&gt;0,IF(Players!A27="","",Players!A27),"")</x:f>
        <x:v>P026</x:v>
      </x:c>
      <x:c r="B27" s="2" t="str">
        <x:f>IF(COUNTA(Players!A27:N27)&gt;0,IF(Players!B27="","",Players!B27),"")</x:f>
        <x:v>Sam Larkin</x:v>
      </x:c>
      <x:c r="C27" s="2" t="str">
        <x:f>IF(COUNTA(Players!A27:N27)&gt;0,IF(Players!C27="","",Players!C27),"")</x:f>
        <x:v>Midfielder</x:v>
      </x:c>
      <x:c r="D27" s="2" t="n">
        <x:f>IF(COUNTA(Players!A27:N27)&gt;0,IF(Players!D27="","",Players!D27),"")</x:f>
        <x:v>22</x:v>
      </x:c>
      <x:c r="E27" s="17" t="n">
        <x:f>IF(COUNTA(Players!A27:N27)&gt;0,IF(Players!F27="","",Players!F27),"")</x:f>
        <x:v>1900000</x:v>
      </x:c>
      <x:c r="F27" s="17" t="n">
        <x:f>IF(COUNTA(Players!A27:N27)&gt;0,IF(Players!G27="","",Players!G27),"")</x:f>
        <x:v>10000</x:v>
      </x:c>
      <x:c r="G27" s="2" t="n">
        <x:f>IF(COUNTA(Players!A27:N27)&gt;0,IF(Players!H27="","",Players!H27),"")</x:f>
        <x:v>1980</x:v>
      </x:c>
      <x:c r="H27" s="2" t="n">
        <x:f>IF(COUNTA(Players!A27:N27)&gt;0,COUNT(Players!I27:N27),"")</x:f>
        <x:v>6</x:v>
      </x:c>
      <x:c r="I27" s="2" t="n">
        <x:f>IF(COUNTA(Players!A27:N27)&gt;0,COUNTIF(Players!$A$2:$A$61,A27),"")</x:f>
        <x:v>1</x:v>
      </x:c>
      <x:c r="J27" s="2" t="str">
        <x:f>IF(NOT(COUNTA(Players!A27:N27)&gt;0),"",IF(OR(A27="",B27=""),"Missing identity",IF(I27&gt;1,"Duplicate ID",IF(OR(COUNT(Players!D27:H27)&lt;&gt;5,H27&lt;&gt;6),"Missing numeric data",IF(OR(D27&lt;15,D27&gt;50,O27&lt;0,E27&lt;O27,F27&lt;0,G27&lt;0,MIN(Players!I27:N27)&lt;1,MAX(Players!I27:N27)&gt;20,COUNTIF(Settings!$B$17:$B$20,C27)&lt;&gt;1),"Invalid input","OK")))))</x:f>
        <x:v>OK</x:v>
      </x:c>
      <x:c r="K27" s="19" t="n">
        <x:f>IF(AND(J27="OK",Settings!$E$24="OK",Settings!$C$14="OK"),SUMPRODUCT(Players!I27:N27,Settings!$C$22:$H$22)/20*100,"")</x:f>
        <x:v>65</x:v>
      </x:c>
      <x:c r="L27" s="17" t="n">
        <x:f>IF(J27="OK",E27+F27*Settings!$C$12*Settings!$C$11,"")</x:f>
        <x:v>3460000</x:v>
      </x:c>
      <x:c r="M27" s="2" t="str">
        <x:f>IF(J27="","",IF(J27&lt;&gt;"OK","Fix data",IF(Settings!$C$14&lt;&gt;"OK","Fix settings",IF(Settings!$E$24&lt;&gt;"OK","Fix weights",IF(C27&lt;&gt;Settings!$C$6,"Different position",IF(D27&gt;Settings!$C$9,"Age limit",IF(E27&gt;Settings!$C$7,"Fee limit",IF(F27&gt;Settings!$C$8,"Wage limit",IF(G27&lt;Settings!$C$10,"Minutes limit","Eligible")))))))))</x:f>
        <x:v>Eligible</x:v>
      </x:c>
      <x:c r="N27" s="2" t="n">
        <x:f>IF(M27="Eligible",COUNTIFS($M$2:$M$61,"Eligible",$K$2:$K$61,"&gt;"&amp;K27)+COUNTIFS($M$2:M27,"Eligible",$K$2:K27,K27),"")</x:f>
        <x:v>5</x:v>
      </x:c>
      <x:c r="O27" s="17" t="n">
        <x:f>IF(COUNTA(Players!A27:N27)&gt;0,IF(Players!E27="","",Players!E27),"")</x:f>
        <x:v>1200000</x:v>
      </x:c>
      <x:c r="P27" s="2" t="n">
        <x:f>IF(M27&lt;&gt;"Eligible","",COUNTIFS($M$2:$M$61,"Eligible",$K$2:$K$61,"&gt;"&amp;K27,$L$2:$L$61,"&lt;="&amp;L27)+COUNTIFS($M$2:$M$61,"Eligible",$K$2:$K$61,K27,$L$2:$L$61,"&lt;"&amp;L27))</x:f>
        <x:v>1</x:v>
      </x:c>
      <x:c r="Q27" s="2" t="str">
        <x:f>IF(M27&lt;&gt;"Eligible","",IF(P27=0,"Frontier","Dominated"))</x:f>
        <x:v>Dominated</x:v>
      </x:c>
    </x:row>
    <x:row r="28" ht="23" customHeight="1">
      <x:c r="A28" s="2" t="str">
        <x:f>IF(COUNTA(Players!A28:N28)&gt;0,IF(Players!A28="","",Players!A28),"")</x:f>
        <x:v>P027</x:v>
      </x:c>
      <x:c r="B28" s="2" t="str">
        <x:f>IF(COUNTA(Players!A28:N28)&gt;0,IF(Players!B28="","",Players!B28),"")</x:f>
        <x:v>Ezra Cole</x:v>
      </x:c>
      <x:c r="C28" s="2" t="str">
        <x:f>IF(COUNTA(Players!A28:N28)&gt;0,IF(Players!C28="","",Players!C28),"")</x:f>
        <x:v>Striker</x:v>
      </x:c>
      <x:c r="D28" s="2" t="n">
        <x:f>IF(COUNTA(Players!A28:N28)&gt;0,IF(Players!D28="","",Players!D28),"")</x:f>
        <x:v>23</x:v>
      </x:c>
      <x:c r="E28" s="17" t="n">
        <x:f>IF(COUNTA(Players!A28:N28)&gt;0,IF(Players!F28="","",Players!F28),"")</x:f>
        <x:v>2500000</x:v>
      </x:c>
      <x:c r="F28" s="17" t="n">
        <x:f>IF(COUNTA(Players!A28:N28)&gt;0,IF(Players!G28="","",Players!G28),"")</x:f>
        <x:v>13000</x:v>
      </x:c>
      <x:c r="G28" s="2" t="n">
        <x:f>IF(COUNTA(Players!A28:N28)&gt;0,IF(Players!H28="","",Players!H28),"")</x:f>
        <x:v>2340</x:v>
      </x:c>
      <x:c r="H28" s="2" t="n">
        <x:f>IF(COUNTA(Players!A28:N28)&gt;0,COUNT(Players!I28:N28),"")</x:f>
        <x:v>6</x:v>
      </x:c>
      <x:c r="I28" s="2" t="n">
        <x:f>IF(COUNTA(Players!A28:N28)&gt;0,COUNTIF(Players!$A$2:$A$61,A28),"")</x:f>
        <x:v>1</x:v>
      </x:c>
      <x:c r="J28" s="2" t="str">
        <x:f>IF(NOT(COUNTA(Players!A28:N28)&gt;0),"",IF(OR(A28="",B28=""),"Missing identity",IF(I28&gt;1,"Duplicate ID",IF(OR(COUNT(Players!D28:H28)&lt;&gt;5,H28&lt;&gt;6),"Missing numeric data",IF(OR(D28&lt;15,D28&gt;50,O28&lt;0,E28&lt;O28,F28&lt;0,G28&lt;0,MIN(Players!I28:N28)&lt;1,MAX(Players!I28:N28)&gt;20,COUNTIF(Settings!$B$17:$B$20,C28)&lt;&gt;1),"Invalid input","OK")))))</x:f>
        <x:v>OK</x:v>
      </x:c>
      <x:c r="K28" s="19" t="n">
        <x:f>IF(AND(J28="OK",Settings!$E$24="OK",Settings!$C$14="OK"),SUMPRODUCT(Players!I28:N28,Settings!$C$22:$H$22)/20*100,"")</x:f>
        <x:v>68.75</x:v>
      </x:c>
      <x:c r="L28" s="17" t="n">
        <x:f>IF(J28="OK",E28+F28*Settings!$C$12*Settings!$C$11,"")</x:f>
        <x:v>4528000</x:v>
      </x:c>
      <x:c r="M28" s="2" t="str">
        <x:f>IF(J28="","",IF(J28&lt;&gt;"OK","Fix data",IF(Settings!$C$14&lt;&gt;"OK","Fix settings",IF(Settings!$E$24&lt;&gt;"OK","Fix weights",IF(C28&lt;&gt;Settings!$C$6,"Different position",IF(D28&gt;Settings!$C$9,"Age limit",IF(E28&gt;Settings!$C$7,"Fee limit",IF(F28&gt;Settings!$C$8,"Wage limit",IF(G28&lt;Settings!$C$10,"Minutes limit","Eligible")))))))))</x:f>
        <x:v>Different position</x:v>
      </x:c>
      <x:c r="N28" s="2" t="str">
        <x:f>IF(M28="Eligible",COUNTIFS($M$2:$M$61,"Eligible",$K$2:$K$61,"&gt;"&amp;K28)+COUNTIFS($M$2:M28,"Eligible",$K$2:K28,K28),"")</x:f>
      </x:c>
      <x:c r="O28" s="17" t="n">
        <x:f>IF(COUNTA(Players!A28:N28)&gt;0,IF(Players!E28="","",Players!E28),"")</x:f>
        <x:v>1600000</x:v>
      </x:c>
      <x:c r="P28" s="2" t="str">
        <x:f>IF(M28&lt;&gt;"Eligible","",COUNTIFS($M$2:$M$61,"Eligible",$K$2:$K$61,"&gt;"&amp;K28,$L$2:$L$61,"&lt;="&amp;L28)+COUNTIFS($M$2:$M$61,"Eligible",$K$2:$K$61,K28,$L$2:$L$61,"&lt;"&amp;L28))</x:f>
      </x:c>
      <x:c r="Q28" s="2" t="str">
        <x:f>IF(M28&lt;&gt;"Eligible","",IF(P28=0,"Frontier","Dominated"))</x:f>
      </x:c>
    </x:row>
    <x:row r="29" ht="23" customHeight="1">
      <x:c r="A29" s="2" t="str">
        <x:f>IF(COUNTA(Players!A29:N29)&gt;0,IF(Players!A29="","",Players!A29),"")</x:f>
        <x:v>P028</x:v>
      </x:c>
      <x:c r="B29" s="2" t="str">
        <x:f>IF(COUNTA(Players!A29:N29)&gt;0,IF(Players!B29="","",Players!B29),"")</x:f>
        <x:v>Ivo Penn</x:v>
      </x:c>
      <x:c r="C29" s="2" t="str">
        <x:f>IF(COUNTA(Players!A29:N29)&gt;0,IF(Players!C29="","",Players!C29),"")</x:f>
        <x:v>Wide forward</x:v>
      </x:c>
      <x:c r="D29" s="2" t="n">
        <x:f>IF(COUNTA(Players!A29:N29)&gt;0,IF(Players!D29="","",Players!D29),"")</x:f>
        <x:v>24</x:v>
      </x:c>
      <x:c r="E29" s="17" t="n">
        <x:f>IF(COUNTA(Players!A29:N29)&gt;0,IF(Players!F29="","",Players!F29),"")</x:f>
        <x:v>2500000</x:v>
      </x:c>
      <x:c r="F29" s="17" t="n">
        <x:f>IF(COUNTA(Players!A29:N29)&gt;0,IF(Players!G29="","",Players!G29),"")</x:f>
        <x:v>16000</x:v>
      </x:c>
      <x:c r="G29" s="2" t="n">
        <x:f>IF(COUNTA(Players!A29:N29)&gt;0,IF(Players!H29="","",Players!H29),"")</x:f>
        <x:v>2700</x:v>
      </x:c>
      <x:c r="H29" s="2" t="n">
        <x:f>IF(COUNTA(Players!A29:N29)&gt;0,COUNT(Players!I29:N29),"")</x:f>
        <x:v>6</x:v>
      </x:c>
      <x:c r="I29" s="2" t="n">
        <x:f>IF(COUNTA(Players!A29:N29)&gt;0,COUNTIF(Players!$A$2:$A$61,A29),"")</x:f>
        <x:v>1</x:v>
      </x:c>
      <x:c r="J29" s="2" t="str">
        <x:f>IF(NOT(COUNTA(Players!A29:N29)&gt;0),"",IF(OR(A29="",B29=""),"Missing identity",IF(I29&gt;1,"Duplicate ID",IF(OR(COUNT(Players!D29:H29)&lt;&gt;5,H29&lt;&gt;6),"Missing numeric data",IF(OR(D29&lt;15,D29&gt;50,O29&lt;0,E29&lt;O29,F29&lt;0,G29&lt;0,MIN(Players!I29:N29)&lt;1,MAX(Players!I29:N29)&gt;20,COUNTIF(Settings!$B$17:$B$20,C29)&lt;&gt;1),"Invalid input","OK")))))</x:f>
        <x:v>OK</x:v>
      </x:c>
      <x:c r="K29" s="19" t="n">
        <x:f>IF(AND(J29="OK",Settings!$E$24="OK",Settings!$C$14="OK"),SUMPRODUCT(Players!I29:N29,Settings!$C$22:$H$22)/20*100,"")</x:f>
        <x:v>65</x:v>
      </x:c>
      <x:c r="L29" s="17" t="n">
        <x:f>IF(J29="OK",E29+F29*Settings!$C$12*Settings!$C$11,"")</x:f>
        <x:v>4996000</x:v>
      </x:c>
      <x:c r="M29" s="2" t="str">
        <x:f>IF(J29="","",IF(J29&lt;&gt;"OK","Fix data",IF(Settings!$C$14&lt;&gt;"OK","Fix settings",IF(Settings!$E$24&lt;&gt;"OK","Fix weights",IF(C29&lt;&gt;Settings!$C$6,"Different position",IF(D29&gt;Settings!$C$9,"Age limit",IF(E29&gt;Settings!$C$7,"Fee limit",IF(F29&gt;Settings!$C$8,"Wage limit",IF(G29&lt;Settings!$C$10,"Minutes limit","Eligible")))))))))</x:f>
        <x:v>Different position</x:v>
      </x:c>
      <x:c r="N29" s="2" t="str">
        <x:f>IF(M29="Eligible",COUNTIFS($M$2:$M$61,"Eligible",$K$2:$K$61,"&gt;"&amp;K29)+COUNTIFS($M$2:M29,"Eligible",$K$2:K29,K29),"")</x:f>
      </x:c>
      <x:c r="O29" s="17" t="n">
        <x:f>IF(COUNTA(Players!A29:N29)&gt;0,IF(Players!E29="","",Players!E29),"")</x:f>
        <x:v>2000000</x:v>
      </x:c>
      <x:c r="P29" s="2" t="str">
        <x:f>IF(M29&lt;&gt;"Eligible","",COUNTIFS($M$2:$M$61,"Eligible",$K$2:$K$61,"&gt;"&amp;K29,$L$2:$L$61,"&lt;="&amp;L29)+COUNTIFS($M$2:$M$61,"Eligible",$K$2:$K$61,K29,$L$2:$L$61,"&lt;"&amp;L29))</x:f>
      </x:c>
      <x:c r="Q29" s="2" t="str">
        <x:f>IF(M29&lt;&gt;"Eligible","",IF(P29=0,"Frontier","Dominated"))</x:f>
      </x:c>
    </x:row>
    <x:row r="30" ht="23" customHeight="1">
      <x:c r="A30" s="2" t="str">
        <x:f>IF(COUNTA(Players!A30:N30)&gt;0,IF(Players!A30="","",Players!A30),"")</x:f>
        <x:v>P029</x:v>
      </x:c>
      <x:c r="B30" s="2" t="str">
        <x:f>IF(COUNTA(Players!A30:N30)&gt;0,IF(Players!B30="","",Players!B30),"")</x:f>
        <x:v>Luis Arden</x:v>
      </x:c>
      <x:c r="C30" s="2" t="str">
        <x:f>IF(COUNTA(Players!A30:N30)&gt;0,IF(Players!C30="","",Players!C30),"")</x:f>
        <x:v>Centre-back</x:v>
      </x:c>
      <x:c r="D30" s="2" t="n">
        <x:f>IF(COUNTA(Players!A30:N30)&gt;0,IF(Players!D30="","",Players!D30),"")</x:f>
        <x:v>25</x:v>
      </x:c>
      <x:c r="E30" s="17" t="n">
        <x:f>IF(COUNTA(Players!A30:N30)&gt;0,IF(Players!F30="","",Players!F30),"")</x:f>
        <x:v>3100000</x:v>
      </x:c>
      <x:c r="F30" s="17" t="n">
        <x:f>IF(COUNTA(Players!A30:N30)&gt;0,IF(Players!G30="","",Players!G30),"")</x:f>
        <x:v>19000</x:v>
      </x:c>
      <x:c r="G30" s="2" t="n">
        <x:f>IF(COUNTA(Players!A30:N30)&gt;0,IF(Players!H30="","",Players!H30),"")</x:f>
        <x:v>540</x:v>
      </x:c>
      <x:c r="H30" s="2" t="n">
        <x:f>IF(COUNTA(Players!A30:N30)&gt;0,COUNT(Players!I30:N30),"")</x:f>
        <x:v>6</x:v>
      </x:c>
      <x:c r="I30" s="2" t="n">
        <x:f>IF(COUNTA(Players!A30:N30)&gt;0,COUNTIF(Players!$A$2:$A$61,A30),"")</x:f>
        <x:v>1</x:v>
      </x:c>
      <x:c r="J30" s="2" t="str">
        <x:f>IF(NOT(COUNTA(Players!A30:N30)&gt;0),"",IF(OR(A30="",B30=""),"Missing identity",IF(I30&gt;1,"Duplicate ID",IF(OR(COUNT(Players!D30:H30)&lt;&gt;5,H30&lt;&gt;6),"Missing numeric data",IF(OR(D30&lt;15,D30&gt;50,O30&lt;0,E30&lt;O30,F30&lt;0,G30&lt;0,MIN(Players!I30:N30)&lt;1,MAX(Players!I30:N30)&gt;20,COUNTIF(Settings!$B$17:$B$20,C30)&lt;&gt;1),"Invalid input","OK")))))</x:f>
        <x:v>OK</x:v>
      </x:c>
      <x:c r="K30" s="19" t="n">
        <x:f>IF(AND(J30="OK",Settings!$E$24="OK",Settings!$C$14="OK"),SUMPRODUCT(Players!I30:N30,Settings!$C$22:$H$22)/20*100,"")</x:f>
        <x:v>60.50000000000001</x:v>
      </x:c>
      <x:c r="L30" s="17" t="n">
        <x:f>IF(J30="OK",E30+F30*Settings!$C$12*Settings!$C$11,"")</x:f>
        <x:v>6064000</x:v>
      </x:c>
      <x:c r="M30" s="2" t="str">
        <x:f>IF(J30="","",IF(J30&lt;&gt;"OK","Fix data",IF(Settings!$C$14&lt;&gt;"OK","Fix settings",IF(Settings!$E$24&lt;&gt;"OK","Fix weights",IF(C30&lt;&gt;Settings!$C$6,"Different position",IF(D30&gt;Settings!$C$9,"Age limit",IF(E30&gt;Settings!$C$7,"Fee limit",IF(F30&gt;Settings!$C$8,"Wage limit",IF(G30&lt;Settings!$C$10,"Minutes limit","Eligible")))))))))</x:f>
        <x:v>Different position</x:v>
      </x:c>
      <x:c r="N30" s="2" t="str">
        <x:f>IF(M30="Eligible",COUNTIFS($M$2:$M$61,"Eligible",$K$2:$K$61,"&gt;"&amp;K30)+COUNTIFS($M$2:M30,"Eligible",$K$2:K30,K30),"")</x:f>
      </x:c>
      <x:c r="O30" s="17" t="n">
        <x:f>IF(COUNTA(Players!A30:N30)&gt;0,IF(Players!E30="","",Players!E30),"")</x:f>
        <x:v>2400000</x:v>
      </x:c>
      <x:c r="P30" s="2" t="str">
        <x:f>IF(M30&lt;&gt;"Eligible","",COUNTIFS($M$2:$M$61,"Eligible",$K$2:$K$61,"&gt;"&amp;K30,$L$2:$L$61,"&lt;="&amp;L30)+COUNTIFS($M$2:$M$61,"Eligible",$K$2:$K$61,K30,$L$2:$L$61,"&lt;"&amp;L30))</x:f>
      </x:c>
      <x:c r="Q30" s="2" t="str">
        <x:f>IF(M30&lt;&gt;"Eligible","",IF(P30=0,"Frontier","Dominated"))</x:f>
      </x:c>
    </x:row>
    <x:row r="31" ht="23" customHeight="1">
      <x:c r="A31" s="2" t="str">
        <x:f>IF(COUNTA(Players!A31:N31)&gt;0,IF(Players!A31="","",Players!A31),"")</x:f>
        <x:v>P030</x:v>
      </x:c>
      <x:c r="B31" s="2" t="str">
        <x:f>IF(COUNTA(Players!A31:N31)&gt;0,IF(Players!B31="","",Players!B31),"")</x:f>
        <x:v>Remy Vale</x:v>
      </x:c>
      <x:c r="C31" s="2" t="str">
        <x:f>IF(COUNTA(Players!A31:N31)&gt;0,IF(Players!C31="","",Players!C31),"")</x:f>
        <x:v>Midfielder</x:v>
      </x:c>
      <x:c r="D31" s="2" t="n">
        <x:f>IF(COUNTA(Players!A31:N31)&gt;0,IF(Players!D31="","",Players!D31),"")</x:f>
        <x:v>26</x:v>
      </x:c>
      <x:c r="E31" s="17" t="n">
        <x:f>IF(COUNTA(Players!A31:N31)&gt;0,IF(Players!F31="","",Players!F31),"")</x:f>
        <x:v>3700000</x:v>
      </x:c>
      <x:c r="F31" s="17" t="n">
        <x:f>IF(COUNTA(Players!A31:N31)&gt;0,IF(Players!G31="","",Players!G31),"")</x:f>
        <x:v>22000</x:v>
      </x:c>
      <x:c r="G31" s="2" t="n">
        <x:f>IF(COUNTA(Players!A31:N31)&gt;0,IF(Players!H31="","",Players!H31),"")</x:f>
        <x:v>900</x:v>
      </x:c>
      <x:c r="H31" s="2" t="n">
        <x:f>IF(COUNTA(Players!A31:N31)&gt;0,COUNT(Players!I31:N31),"")</x:f>
        <x:v>6</x:v>
      </x:c>
      <x:c r="I31" s="2" t="n">
        <x:f>IF(COUNTA(Players!A31:N31)&gt;0,COUNTIF(Players!$A$2:$A$61,A31),"")</x:f>
        <x:v>1</x:v>
      </x:c>
      <x:c r="J31" s="2" t="str">
        <x:f>IF(NOT(COUNTA(Players!A31:N31)&gt;0),"",IF(OR(A31="",B31=""),"Missing identity",IF(I31&gt;1,"Duplicate ID",IF(OR(COUNT(Players!D31:H31)&lt;&gt;5,H31&lt;&gt;6),"Missing numeric data",IF(OR(D31&lt;15,D31&gt;50,O31&lt;0,E31&lt;O31,F31&lt;0,G31&lt;0,MIN(Players!I31:N31)&lt;1,MAX(Players!I31:N31)&gt;20,COUNTIF(Settings!$B$17:$B$20,C31)&lt;&gt;1),"Invalid input","OK")))))</x:f>
        <x:v>OK</x:v>
      </x:c>
      <x:c r="K31" s="19" t="n">
        <x:f>IF(AND(J31="OK",Settings!$E$24="OK",Settings!$C$14="OK"),SUMPRODUCT(Players!I31:N31,Settings!$C$22:$H$22)/20*100,"")</x:f>
        <x:v>75.50000000000001</x:v>
      </x:c>
      <x:c r="L31" s="17" t="n">
        <x:f>IF(J31="OK",E31+F31*Settings!$C$12*Settings!$C$11,"")</x:f>
        <x:v>7132000</x:v>
      </x:c>
      <x:c r="M31" s="2" t="str">
        <x:f>IF(J31="","",IF(J31&lt;&gt;"OK","Fix data",IF(Settings!$C$14&lt;&gt;"OK","Fix settings",IF(Settings!$E$24&lt;&gt;"OK","Fix weights",IF(C31&lt;&gt;Settings!$C$6,"Different position",IF(D31&gt;Settings!$C$9,"Age limit",IF(E31&gt;Settings!$C$7,"Fee limit",IF(F31&gt;Settings!$C$8,"Wage limit",IF(G31&lt;Settings!$C$10,"Minutes limit","Eligible")))))))))</x:f>
        <x:v>Eligible</x:v>
      </x:c>
      <x:c r="N31" s="2" t="n">
        <x:f>IF(M31="Eligible",COUNTIFS($M$2:$M$61,"Eligible",$K$2:$K$61,"&gt;"&amp;K31)+COUNTIFS($M$2:M31,"Eligible",$K$2:K31,K31),"")</x:f>
        <x:v>1</x:v>
      </x:c>
      <x:c r="O31" s="17" t="n">
        <x:f>IF(COUNTA(Players!A31:N31)&gt;0,IF(Players!E31="","",Players!E31),"")</x:f>
        <x:v>2800000</x:v>
      </x:c>
      <x:c r="P31" s="2" t="n">
        <x:f>IF(M31&lt;&gt;"Eligible","",COUNTIFS($M$2:$M$61,"Eligible",$K$2:$K$61,"&gt;"&amp;K31,$L$2:$L$61,"&lt;="&amp;L31)+COUNTIFS($M$2:$M$61,"Eligible",$K$2:$K$61,K31,$L$2:$L$61,"&lt;"&amp;L31))</x:f>
        <x:v>0</x:v>
      </x:c>
      <x:c r="Q31" s="2" t="str">
        <x:f>IF(M31&lt;&gt;"Eligible","",IF(P31=0,"Frontier","Dominated"))</x:f>
        <x:v>Frontier</x:v>
      </x:c>
    </x:row>
    <x:row r="32" ht="23" customHeight="1">
      <x:c r="A32" s="2" t="str">
        <x:f>IF(COUNTA(Players!A32:N32)&gt;0,IF(Players!A32="","",Players!A32),"")</x:f>
        <x:v>P031</x:v>
      </x:c>
      <x:c r="B32" s="2" t="str">
        <x:f>IF(COUNTA(Players!A32:N32)&gt;0,IF(Players!B32="","",Players!B32),"")</x:f>
        <x:v>Ellis Shaw</x:v>
      </x:c>
      <x:c r="C32" s="2" t="str">
        <x:f>IF(COUNTA(Players!A32:N32)&gt;0,IF(Players!C32="","",Players!C32),"")</x:f>
        <x:v>Striker</x:v>
      </x:c>
      <x:c r="D32" s="2" t="n">
        <x:f>IF(COUNTA(Players!A32:N32)&gt;0,IF(Players!D32="","",Players!D32),"")</x:f>
        <x:v>27</x:v>
      </x:c>
      <x:c r="E32" s="17" t="n">
        <x:f>IF(COUNTA(Players!A32:N32)&gt;0,IF(Players!F32="","",Players!F32),"")</x:f>
        <x:v>3700000</x:v>
      </x:c>
      <x:c r="F32" s="17" t="n">
        <x:f>IF(COUNTA(Players!A32:N32)&gt;0,IF(Players!G32="","",Players!G32),"")</x:f>
        <x:v>25000</x:v>
      </x:c>
      <x:c r="G32" s="2" t="n">
        <x:f>IF(COUNTA(Players!A32:N32)&gt;0,IF(Players!H32="","",Players!H32),"")</x:f>
        <x:v>1260</x:v>
      </x:c>
      <x:c r="H32" s="2" t="n">
        <x:f>IF(COUNTA(Players!A32:N32)&gt;0,COUNT(Players!I32:N32),"")</x:f>
        <x:v>6</x:v>
      </x:c>
      <x:c r="I32" s="2" t="n">
        <x:f>IF(COUNTA(Players!A32:N32)&gt;0,COUNTIF(Players!$A$2:$A$61,A32),"")</x:f>
        <x:v>1</x:v>
      </x:c>
      <x:c r="J32" s="2" t="str">
        <x:f>IF(NOT(COUNTA(Players!A32:N32)&gt;0),"",IF(OR(A32="",B32=""),"Missing identity",IF(I32&gt;1,"Duplicate ID",IF(OR(COUNT(Players!D32:H32)&lt;&gt;5,H32&lt;&gt;6),"Missing numeric data",IF(OR(D32&lt;15,D32&gt;50,O32&lt;0,E32&lt;O32,F32&lt;0,G32&lt;0,MIN(Players!I32:N32)&lt;1,MAX(Players!I32:N32)&gt;20,COUNTIF(Settings!$B$17:$B$20,C32)&lt;&gt;1),"Invalid input","OK")))))</x:f>
        <x:v>OK</x:v>
      </x:c>
      <x:c r="K32" s="19" t="n">
        <x:f>IF(AND(J32="OK",Settings!$E$24="OK",Settings!$C$14="OK"),SUMPRODUCT(Players!I32:N32,Settings!$C$22:$H$22)/20*100,"")</x:f>
        <x:v>65.5</x:v>
      </x:c>
      <x:c r="L32" s="17" t="n">
        <x:f>IF(J32="OK",E32+F32*Settings!$C$12*Settings!$C$11,"")</x:f>
        <x:v>7600000</x:v>
      </x:c>
      <x:c r="M32" s="2" t="str">
        <x:f>IF(J32="","",IF(J32&lt;&gt;"OK","Fix data",IF(Settings!$C$14&lt;&gt;"OK","Fix settings",IF(Settings!$E$24&lt;&gt;"OK","Fix weights",IF(C32&lt;&gt;Settings!$C$6,"Different position",IF(D32&gt;Settings!$C$9,"Age limit",IF(E32&gt;Settings!$C$7,"Fee limit",IF(F32&gt;Settings!$C$8,"Wage limit",IF(G32&lt;Settings!$C$10,"Minutes limit","Eligible")))))))))</x:f>
        <x:v>Different position</x:v>
      </x:c>
      <x:c r="N32" s="2" t="str">
        <x:f>IF(M32="Eligible",COUNTIFS($M$2:$M$61,"Eligible",$K$2:$K$61,"&gt;"&amp;K32)+COUNTIFS($M$2:M32,"Eligible",$K$2:K32,K32),"")</x:f>
      </x:c>
      <x:c r="O32" s="17" t="n">
        <x:f>IF(COUNTA(Players!A32:N32)&gt;0,IF(Players!E32="","",Players!E32),"")</x:f>
        <x:v>3200000</x:v>
      </x:c>
      <x:c r="P32" s="2" t="str">
        <x:f>IF(M32&lt;&gt;"Eligible","",COUNTIFS($M$2:$M$61,"Eligible",$K$2:$K$61,"&gt;"&amp;K32,$L$2:$L$61,"&lt;="&amp;L32)+COUNTIFS($M$2:$M$61,"Eligible",$K$2:$K$61,K32,$L$2:$L$61,"&lt;"&amp;L32))</x:f>
      </x:c>
      <x:c r="Q32" s="2" t="str">
        <x:f>IF(M32&lt;&gt;"Eligible","",IF(P32=0,"Frontier","Dominated"))</x:f>
      </x:c>
    </x:row>
    <x:row r="33" ht="23" customHeight="1">
      <x:c r="A33" s="2" t="str">
        <x:f>IF(COUNTA(Players!A33:N33)&gt;0,IF(Players!A33="","",Players!A33),"")</x:f>
        <x:v>P032</x:v>
      </x:c>
      <x:c r="B33" s="2" t="str">
        <x:f>IF(COUNTA(Players!A33:N33)&gt;0,IF(Players!B33="","",Players!B33),"")</x:f>
        <x:v>Dylan Grey</x:v>
      </x:c>
      <x:c r="C33" s="2" t="str">
        <x:f>IF(COUNTA(Players!A33:N33)&gt;0,IF(Players!C33="","",Players!C33),"")</x:f>
        <x:v>Wide forward</x:v>
      </x:c>
      <x:c r="D33" s="2" t="n">
        <x:f>IF(COUNTA(Players!A33:N33)&gt;0,IF(Players!D33="","",Players!D33),"")</x:f>
        <x:v>28</x:v>
      </x:c>
      <x:c r="E33" s="17" t="n">
        <x:f>IF(COUNTA(Players!A33:N33)&gt;0,IF(Players!F33="","",Players!F33),"")</x:f>
        <x:v>4300000</x:v>
      </x:c>
      <x:c r="F33" s="17" t="n">
        <x:f>IF(COUNTA(Players!A33:N33)&gt;0,IF(Players!G33="","",Players!G33),"")</x:f>
        <x:v>28000</x:v>
      </x:c>
      <x:c r="G33" s="2" t="n">
        <x:f>IF(COUNTA(Players!A33:N33)&gt;0,IF(Players!H33="","",Players!H33),"")</x:f>
        <x:v>1620</x:v>
      </x:c>
      <x:c r="H33" s="2" t="n">
        <x:f>IF(COUNTA(Players!A33:N33)&gt;0,COUNT(Players!I33:N33),"")</x:f>
        <x:v>6</x:v>
      </x:c>
      <x:c r="I33" s="2" t="n">
        <x:f>IF(COUNTA(Players!A33:N33)&gt;0,COUNTIF(Players!$A$2:$A$61,A33),"")</x:f>
        <x:v>1</x:v>
      </x:c>
      <x:c r="J33" s="2" t="str">
        <x:f>IF(NOT(COUNTA(Players!A33:N33)&gt;0),"",IF(OR(A33="",B33=""),"Missing identity",IF(I33&gt;1,"Duplicate ID",IF(OR(COUNT(Players!D33:H33)&lt;&gt;5,H33&lt;&gt;6),"Missing numeric data",IF(OR(D33&lt;15,D33&gt;50,O33&lt;0,E33&lt;O33,F33&lt;0,G33&lt;0,MIN(Players!I33:N33)&lt;1,MAX(Players!I33:N33)&gt;20,COUNTIF(Settings!$B$17:$B$20,C33)&lt;&gt;1),"Invalid input","OK")))))</x:f>
        <x:v>OK</x:v>
      </x:c>
      <x:c r="K33" s="19" t="n">
        <x:f>IF(AND(J33="OK",Settings!$E$24="OK",Settings!$C$14="OK"),SUMPRODUCT(Players!I33:N33,Settings!$C$22:$H$22)/20*100,"")</x:f>
        <x:v>66.5</x:v>
      </x:c>
      <x:c r="L33" s="17" t="n">
        <x:f>IF(J33="OK",E33+F33*Settings!$C$12*Settings!$C$11,"")</x:f>
        <x:v>8668000</x:v>
      </x:c>
      <x:c r="M33" s="2" t="str">
        <x:f>IF(J33="","",IF(J33&lt;&gt;"OK","Fix data",IF(Settings!$C$14&lt;&gt;"OK","Fix settings",IF(Settings!$E$24&lt;&gt;"OK","Fix weights",IF(C33&lt;&gt;Settings!$C$6,"Different position",IF(D33&gt;Settings!$C$9,"Age limit",IF(E33&gt;Settings!$C$7,"Fee limit",IF(F33&gt;Settings!$C$8,"Wage limit",IF(G33&lt;Settings!$C$10,"Minutes limit","Eligible")))))))))</x:f>
        <x:v>Different position</x:v>
      </x:c>
      <x:c r="N33" s="2" t="str">
        <x:f>IF(M33="Eligible",COUNTIFS($M$2:$M$61,"Eligible",$K$2:$K$61,"&gt;"&amp;K33)+COUNTIFS($M$2:M33,"Eligible",$K$2:K33,K33),"")</x:f>
      </x:c>
      <x:c r="O33" s="17" t="n">
        <x:f>IF(COUNTA(Players!A33:N33)&gt;0,IF(Players!E33="","",Players!E33),"")</x:f>
        <x:v>3600000</x:v>
      </x:c>
      <x:c r="P33" s="2" t="str">
        <x:f>IF(M33&lt;&gt;"Eligible","",COUNTIFS($M$2:$M$61,"Eligible",$K$2:$K$61,"&gt;"&amp;K33,$L$2:$L$61,"&lt;="&amp;L33)+COUNTIFS($M$2:$M$61,"Eligible",$K$2:$K$61,K33,$L$2:$L$61,"&lt;"&amp;L33))</x:f>
      </x:c>
      <x:c r="Q33" s="2" t="str">
        <x:f>IF(M33&lt;&gt;"Eligible","",IF(P33=0,"Frontier","Dominated"))</x:f>
      </x:c>
    </x:row>
    <x:row r="34" ht="23" customHeight="1">
      <x:c r="A34" s="2" t="str">
        <x:f>IF(COUNTA(Players!A34:N34)&gt;0,IF(Players!A34="","",Players!A34),"")</x:f>
        <x:v>P033</x:v>
      </x:c>
      <x:c r="B34" s="2" t="str">
        <x:f>IF(COUNTA(Players!A34:N34)&gt;0,IF(Players!B34="","",Players!B34),"")</x:f>
        <x:v>Evan Holt</x:v>
      </x:c>
      <x:c r="C34" s="2" t="str">
        <x:f>IF(COUNTA(Players!A34:N34)&gt;0,IF(Players!C34="","",Players!C34),"")</x:f>
        <x:v>Centre-back</x:v>
      </x:c>
      <x:c r="D34" s="2" t="n">
        <x:f>IF(COUNTA(Players!A34:N34)&gt;0,IF(Players!D34="","",Players!D34),"")</x:f>
        <x:v>29</x:v>
      </x:c>
      <x:c r="E34" s="17" t="n">
        <x:f>IF(COUNTA(Players!A34:N34)&gt;0,IF(Players!F34="","",Players!F34),"")</x:f>
        <x:v>1700000</x:v>
      </x:c>
      <x:c r="F34" s="17" t="n">
        <x:f>IF(COUNTA(Players!A34:N34)&gt;0,IF(Players!G34="","",Players!G34),"")</x:f>
        <x:v>7000</x:v>
      </x:c>
      <x:c r="G34" s="2" t="n">
        <x:f>IF(COUNTA(Players!A34:N34)&gt;0,IF(Players!H34="","",Players!H34),"")</x:f>
        <x:v>1980</x:v>
      </x:c>
      <x:c r="H34" s="2" t="n">
        <x:f>IF(COUNTA(Players!A34:N34)&gt;0,COUNT(Players!I34:N34),"")</x:f>
        <x:v>6</x:v>
      </x:c>
      <x:c r="I34" s="2" t="n">
        <x:f>IF(COUNTA(Players!A34:N34)&gt;0,COUNTIF(Players!$A$2:$A$61,A34),"")</x:f>
        <x:v>1</x:v>
      </x:c>
      <x:c r="J34" s="2" t="str">
        <x:f>IF(NOT(COUNTA(Players!A34:N34)&gt;0),"",IF(OR(A34="",B34=""),"Missing identity",IF(I34&gt;1,"Duplicate ID",IF(OR(COUNT(Players!D34:H34)&lt;&gt;5,H34&lt;&gt;6),"Missing numeric data",IF(OR(D34&lt;15,D34&gt;50,O34&lt;0,E34&lt;O34,F34&lt;0,G34&lt;0,MIN(Players!I34:N34)&lt;1,MAX(Players!I34:N34)&gt;20,COUNTIF(Settings!$B$17:$B$20,C34)&lt;&gt;1),"Invalid input","OK")))))</x:f>
        <x:v>OK</x:v>
      </x:c>
      <x:c r="K34" s="19" t="n">
        <x:f>IF(AND(J34="OK",Settings!$E$24="OK",Settings!$C$14="OK"),SUMPRODUCT(Players!I34:N34,Settings!$C$22:$H$22)/20*100,"")</x:f>
        <x:v>76.49999999999999</x:v>
      </x:c>
      <x:c r="L34" s="17" t="n">
        <x:f>IF(J34="OK",E34+F34*Settings!$C$12*Settings!$C$11,"")</x:f>
        <x:v>2792000</x:v>
      </x:c>
      <x:c r="M34" s="2" t="str">
        <x:f>IF(J34="","",IF(J34&lt;&gt;"OK","Fix data",IF(Settings!$C$14&lt;&gt;"OK","Fix settings",IF(Settings!$E$24&lt;&gt;"OK","Fix weights",IF(C34&lt;&gt;Settings!$C$6,"Different position",IF(D34&gt;Settings!$C$9,"Age limit",IF(E34&gt;Settings!$C$7,"Fee limit",IF(F34&gt;Settings!$C$8,"Wage limit",IF(G34&lt;Settings!$C$10,"Minutes limit","Eligible")))))))))</x:f>
        <x:v>Different position</x:v>
      </x:c>
      <x:c r="N34" s="2" t="str">
        <x:f>IF(M34="Eligible",COUNTIFS($M$2:$M$61,"Eligible",$K$2:$K$61,"&gt;"&amp;K34)+COUNTIFS($M$2:M34,"Eligible",$K$2:K34,K34),"")</x:f>
      </x:c>
      <x:c r="O34" s="17" t="n">
        <x:f>IF(COUNTA(Players!A34:N34)&gt;0,IF(Players!E34="","",Players!E34),"")</x:f>
        <x:v>800000</x:v>
      </x:c>
      <x:c r="P34" s="2" t="str">
        <x:f>IF(M34&lt;&gt;"Eligible","",COUNTIFS($M$2:$M$61,"Eligible",$K$2:$K$61,"&gt;"&amp;K34,$L$2:$L$61,"&lt;="&amp;L34)+COUNTIFS($M$2:$M$61,"Eligible",$K$2:$K$61,K34,$L$2:$L$61,"&lt;"&amp;L34))</x:f>
      </x:c>
      <x:c r="Q34" s="2" t="str">
        <x:f>IF(M34&lt;&gt;"Eligible","",IF(P34=0,"Frontier","Dominated"))</x:f>
      </x:c>
    </x:row>
    <x:row r="35" ht="23" customHeight="1">
      <x:c r="A35" s="2" t="str">
        <x:f>IF(COUNTA(Players!A35:N35)&gt;0,IF(Players!A35="","",Players!A35),"")</x:f>
        <x:v>P034</x:v>
      </x:c>
      <x:c r="B35" s="2" t="str">
        <x:f>IF(COUNTA(Players!A35:N35)&gt;0,IF(Players!B35="","",Players!B35),"")</x:f>
        <x:v>Zac Rivers</x:v>
      </x:c>
      <x:c r="C35" s="2" t="str">
        <x:f>IF(COUNTA(Players!A35:N35)&gt;0,IF(Players!C35="","",Players!C35),"")</x:f>
        <x:v>Midfielder</x:v>
      </x:c>
      <x:c r="D35" s="2" t="n">
        <x:f>IF(COUNTA(Players!A35:N35)&gt;0,IF(Players!D35="","",Players!D35),"")</x:f>
        <x:v>19</x:v>
      </x:c>
      <x:c r="E35" s="17" t="str">
        <x:f>IF(COUNTA(Players!A35:N35)&gt;0,IF(Players!F35="","",Players!F35),"")</x:f>
      </x:c>
      <x:c r="F35" s="17" t="n">
        <x:f>IF(COUNTA(Players!A35:N35)&gt;0,IF(Players!G35="","",Players!G35),"")</x:f>
        <x:v>10000</x:v>
      </x:c>
      <x:c r="G35" s="2" t="n">
        <x:f>IF(COUNTA(Players!A35:N35)&gt;0,IF(Players!H35="","",Players!H35),"")</x:f>
        <x:v>2340</x:v>
      </x:c>
      <x:c r="H35" s="2" t="n">
        <x:f>IF(COUNTA(Players!A35:N35)&gt;0,COUNT(Players!I35:N35),"")</x:f>
        <x:v>6</x:v>
      </x:c>
      <x:c r="I35" s="2" t="n">
        <x:f>IF(COUNTA(Players!A35:N35)&gt;0,COUNTIF(Players!$A$2:$A$61,A35),"")</x:f>
        <x:v>1</x:v>
      </x:c>
      <x:c r="J35" s="2" t="str">
        <x:f>IF(NOT(COUNTA(Players!A35:N35)&gt;0),"",IF(OR(A35="",B35=""),"Missing identity",IF(I35&gt;1,"Duplicate ID",IF(OR(COUNT(Players!D35:H35)&lt;&gt;5,H35&lt;&gt;6),"Missing numeric data",IF(OR(D35&lt;15,D35&gt;50,O35&lt;0,E35&lt;O35,F35&lt;0,G35&lt;0,MIN(Players!I35:N35)&lt;1,MAX(Players!I35:N35)&gt;20,COUNTIF(Settings!$B$17:$B$20,C35)&lt;&gt;1),"Invalid input","OK")))))</x:f>
        <x:v>Missing numeric data</x:v>
      </x:c>
      <x:c r="K35" s="19" t="str">
        <x:f>IF(AND(J35="OK",Settings!$E$24="OK",Settings!$C$14="OK"),SUMPRODUCT(Players!I35:N35,Settings!$C$22:$H$22)/20*100,"")</x:f>
      </x:c>
      <x:c r="L35" s="17" t="str">
        <x:f>IF(J35="OK",E35+F35*Settings!$C$12*Settings!$C$11,"")</x:f>
      </x:c>
      <x:c r="M35" s="2" t="str">
        <x:f>IF(J35="","",IF(J35&lt;&gt;"OK","Fix data",IF(Settings!$C$14&lt;&gt;"OK","Fix settings",IF(Settings!$E$24&lt;&gt;"OK","Fix weights",IF(C35&lt;&gt;Settings!$C$6,"Different position",IF(D35&gt;Settings!$C$9,"Age limit",IF(E35&gt;Settings!$C$7,"Fee limit",IF(F35&gt;Settings!$C$8,"Wage limit",IF(G35&lt;Settings!$C$10,"Minutes limit","Eligible")))))))))</x:f>
        <x:v>Fix data</x:v>
      </x:c>
      <x:c r="N35" s="2" t="str">
        <x:f>IF(M35="Eligible",COUNTIFS($M$2:$M$61,"Eligible",$K$2:$K$61,"&gt;"&amp;K35)+COUNTIFS($M$2:M35,"Eligible",$K$2:K35,K35),"")</x:f>
      </x:c>
      <x:c r="O35" s="17" t="n">
        <x:f>IF(COUNTA(Players!A35:N35)&gt;0,IF(Players!E35="","",Players!E35),"")</x:f>
        <x:v>1200000</x:v>
      </x:c>
      <x:c r="P35" s="2" t="str">
        <x:f>IF(M35&lt;&gt;"Eligible","",COUNTIFS($M$2:$M$61,"Eligible",$K$2:$K$61,"&gt;"&amp;K35,$L$2:$L$61,"&lt;="&amp;L35)+COUNTIFS($M$2:$M$61,"Eligible",$K$2:$K$61,K35,$L$2:$L$61,"&lt;"&amp;L35))</x:f>
      </x:c>
      <x:c r="Q35" s="2" t="str">
        <x:f>IF(M35&lt;&gt;"Eligible","",IF(P35=0,"Frontier","Dominated"))</x:f>
      </x:c>
    </x:row>
    <x:row r="36" ht="23" customHeight="1">
      <x:c r="A36" s="2" t="str">
        <x:f>IF(COUNTA(Players!A36:N36)&gt;0,IF(Players!A36="","",Players!A36),"")</x:f>
        <x:v>P035</x:v>
      </x:c>
      <x:c r="B36" s="2" t="str">
        <x:f>IF(COUNTA(Players!A36:N36)&gt;0,IF(Players!B36="","",Players!B36),"")</x:f>
        <x:v>Adam Lane</x:v>
      </x:c>
      <x:c r="C36" s="2" t="str">
        <x:f>IF(COUNTA(Players!A36:N36)&gt;0,IF(Players!C36="","",Players!C36),"")</x:f>
        <x:v>Striker</x:v>
      </x:c>
      <x:c r="D36" s="2" t="n">
        <x:f>IF(COUNTA(Players!A36:N36)&gt;0,IF(Players!D36="","",Players!D36),"")</x:f>
        <x:v>20</x:v>
      </x:c>
      <x:c r="E36" s="17" t="n">
        <x:f>IF(COUNTA(Players!A36:N36)&gt;0,IF(Players!F36="","",Players!F36),"")</x:f>
        <x:v>2300000</x:v>
      </x:c>
      <x:c r="F36" s="17" t="n">
        <x:f>IF(COUNTA(Players!A36:N36)&gt;0,IF(Players!G36="","",Players!G36),"")</x:f>
        <x:v>13000</x:v>
      </x:c>
      <x:c r="G36" s="2" t="n">
        <x:f>IF(COUNTA(Players!A36:N36)&gt;0,IF(Players!H36="","",Players!H36),"")</x:f>
        <x:v>2700</x:v>
      </x:c>
      <x:c r="H36" s="2" t="n">
        <x:f>IF(COUNTA(Players!A36:N36)&gt;0,COUNT(Players!I36:N36),"")</x:f>
        <x:v>5</x:v>
      </x:c>
      <x:c r="I36" s="2" t="n">
        <x:f>IF(COUNTA(Players!A36:N36)&gt;0,COUNTIF(Players!$A$2:$A$61,A36),"")</x:f>
        <x:v>2</x:v>
      </x:c>
      <x:c r="J36" s="2" t="str">
        <x:f>IF(NOT(COUNTA(Players!A36:N36)&gt;0),"",IF(OR(A36="",B36=""),"Missing identity",IF(I36&gt;1,"Duplicate ID",IF(OR(COUNT(Players!D36:H36)&lt;&gt;5,H36&lt;&gt;6),"Missing numeric data",IF(OR(D36&lt;15,D36&gt;50,O36&lt;0,E36&lt;O36,F36&lt;0,G36&lt;0,MIN(Players!I36:N36)&lt;1,MAX(Players!I36:N36)&gt;20,COUNTIF(Settings!$B$17:$B$20,C36)&lt;&gt;1),"Invalid input","OK")))))</x:f>
        <x:v>Duplicate ID</x:v>
      </x:c>
      <x:c r="K36" s="19" t="str">
        <x:f>IF(AND(J36="OK",Settings!$E$24="OK",Settings!$C$14="OK"),SUMPRODUCT(Players!I36:N36,Settings!$C$22:$H$22)/20*100,"")</x:f>
      </x:c>
      <x:c r="L36" s="17" t="str">
        <x:f>IF(J36="OK",E36+F36*Settings!$C$12*Settings!$C$11,"")</x:f>
      </x:c>
      <x:c r="M36" s="2" t="str">
        <x:f>IF(J36="","",IF(J36&lt;&gt;"OK","Fix data",IF(Settings!$C$14&lt;&gt;"OK","Fix settings",IF(Settings!$E$24&lt;&gt;"OK","Fix weights",IF(C36&lt;&gt;Settings!$C$6,"Different position",IF(D36&gt;Settings!$C$9,"Age limit",IF(E36&gt;Settings!$C$7,"Fee limit",IF(F36&gt;Settings!$C$8,"Wage limit",IF(G36&lt;Settings!$C$10,"Minutes limit","Eligible")))))))))</x:f>
        <x:v>Fix data</x:v>
      </x:c>
      <x:c r="N36" s="2" t="str">
        <x:f>IF(M36="Eligible",COUNTIFS($M$2:$M$61,"Eligible",$K$2:$K$61,"&gt;"&amp;K36)+COUNTIFS($M$2:M36,"Eligible",$K$2:K36,K36),"")</x:f>
      </x:c>
      <x:c r="O36" s="17" t="n">
        <x:f>IF(COUNTA(Players!A36:N36)&gt;0,IF(Players!E36="","",Players!E36),"")</x:f>
        <x:v>1600000</x:v>
      </x:c>
      <x:c r="P36" s="2" t="str">
        <x:f>IF(M36&lt;&gt;"Eligible","",COUNTIFS($M$2:$M$61,"Eligible",$K$2:$K$61,"&gt;"&amp;K36,$L$2:$L$61,"&lt;="&amp;L36)+COUNTIFS($M$2:$M$61,"Eligible",$K$2:$K$61,K36,$L$2:$L$61,"&lt;"&amp;L36))</x:f>
      </x:c>
      <x:c r="Q36" s="2" t="str">
        <x:f>IF(M36&lt;&gt;"Eligible","",IF(P36=0,"Frontier","Dominated"))</x:f>
      </x:c>
    </x:row>
    <x:row r="37" ht="23" customHeight="1">
      <x:c r="A37" s="2" t="str">
        <x:f>IF(COUNTA(Players!A37:N37)&gt;0,IF(Players!A37="","",Players!A37),"")</x:f>
        <x:v>P035</x:v>
      </x:c>
      <x:c r="B37" s="2" t="str">
        <x:f>IF(COUNTA(Players!A37:N37)&gt;0,IF(Players!B37="","",Players!B37),"")</x:f>
        <x:v>Felix Stone</x:v>
      </x:c>
      <x:c r="C37" s="2" t="str">
        <x:f>IF(COUNTA(Players!A37:N37)&gt;0,IF(Players!C37="","",Players!C37),"")</x:f>
        <x:v>Wide forward</x:v>
      </x:c>
      <x:c r="D37" s="2" t="n">
        <x:f>IF(COUNTA(Players!A37:N37)&gt;0,IF(Players!D37="","",Players!D37),"")</x:f>
        <x:v>21</x:v>
      </x:c>
      <x:c r="E37" s="17" t="n">
        <x:f>IF(COUNTA(Players!A37:N37)&gt;0,IF(Players!F37="","",Players!F37),"")</x:f>
        <x:v>2900000</x:v>
      </x:c>
      <x:c r="F37" s="17" t="n">
        <x:f>IF(COUNTA(Players!A37:N37)&gt;0,IF(Players!G37="","",Players!G37),"")</x:f>
        <x:v>16000</x:v>
      </x:c>
      <x:c r="G37" s="2" t="n">
        <x:f>IF(COUNTA(Players!A37:N37)&gt;0,IF(Players!H37="","",Players!H37),"")</x:f>
        <x:v>540</x:v>
      </x:c>
      <x:c r="H37" s="2" t="n">
        <x:f>IF(COUNTA(Players!A37:N37)&gt;0,COUNT(Players!I37:N37),"")</x:f>
        <x:v>6</x:v>
      </x:c>
      <x:c r="I37" s="2" t="n">
        <x:f>IF(COUNTA(Players!A37:N37)&gt;0,COUNTIF(Players!$A$2:$A$61,A37),"")</x:f>
        <x:v>2</x:v>
      </x:c>
      <x:c r="J37" s="2" t="str">
        <x:f>IF(NOT(COUNTA(Players!A37:N37)&gt;0),"",IF(OR(A37="",B37=""),"Missing identity",IF(I37&gt;1,"Duplicate ID",IF(OR(COUNT(Players!D37:H37)&lt;&gt;5,H37&lt;&gt;6),"Missing numeric data",IF(OR(D37&lt;15,D37&gt;50,O37&lt;0,E37&lt;O37,F37&lt;0,G37&lt;0,MIN(Players!I37:N37)&lt;1,MAX(Players!I37:N37)&gt;20,COUNTIF(Settings!$B$17:$B$20,C37)&lt;&gt;1),"Invalid input","OK")))))</x:f>
        <x:v>Duplicate ID</x:v>
      </x:c>
      <x:c r="K37" s="19" t="str">
        <x:f>IF(AND(J37="OK",Settings!$E$24="OK",Settings!$C$14="OK"),SUMPRODUCT(Players!I37:N37,Settings!$C$22:$H$22)/20*100,"")</x:f>
      </x:c>
      <x:c r="L37" s="17" t="str">
        <x:f>IF(J37="OK",E37+F37*Settings!$C$12*Settings!$C$11,"")</x:f>
      </x:c>
      <x:c r="M37" s="2" t="str">
        <x:f>IF(J37="","",IF(J37&lt;&gt;"OK","Fix data",IF(Settings!$C$14&lt;&gt;"OK","Fix settings",IF(Settings!$E$24&lt;&gt;"OK","Fix weights",IF(C37&lt;&gt;Settings!$C$6,"Different position",IF(D37&gt;Settings!$C$9,"Age limit",IF(E37&gt;Settings!$C$7,"Fee limit",IF(F37&gt;Settings!$C$8,"Wage limit",IF(G37&lt;Settings!$C$10,"Minutes limit","Eligible")))))))))</x:f>
        <x:v>Fix data</x:v>
      </x:c>
      <x:c r="N37" s="2" t="str">
        <x:f>IF(M37="Eligible",COUNTIFS($M$2:$M$61,"Eligible",$K$2:$K$61,"&gt;"&amp;K37)+COUNTIFS($M$2:M37,"Eligible",$K$2:K37,K37),"")</x:f>
      </x:c>
      <x:c r="O37" s="17" t="n">
        <x:f>IF(COUNTA(Players!A37:N37)&gt;0,IF(Players!E37="","",Players!E37),"")</x:f>
        <x:v>2000000</x:v>
      </x:c>
      <x:c r="P37" s="2" t="str">
        <x:f>IF(M37&lt;&gt;"Eligible","",COUNTIFS($M$2:$M$61,"Eligible",$K$2:$K$61,"&gt;"&amp;K37,$L$2:$L$61,"&lt;="&amp;L37)+COUNTIFS($M$2:$M$61,"Eligible",$K$2:$K$61,K37,$L$2:$L$61,"&lt;"&amp;L37))</x:f>
      </x:c>
      <x:c r="Q37" s="2" t="str">
        <x:f>IF(M37&lt;&gt;"Eligible","",IF(P37=0,"Frontier","Dominated"))</x:f>
      </x:c>
    </x:row>
    <x:row r="38" ht="23" customHeight="1">
      <x:c r="A38" s="2" t="str">
        <x:f>IF(COUNTA(Players!A38:N38)&gt;0,IF(Players!A38="","",Players!A38),"")</x:f>
      </x:c>
      <x:c r="B38" s="2" t="str">
        <x:f>IF(COUNTA(Players!A38:N38)&gt;0,IF(Players!B38="","",Players!B38),"")</x:f>
      </x:c>
      <x:c r="C38" s="2" t="str">
        <x:f>IF(COUNTA(Players!A38:N38)&gt;0,IF(Players!C38="","",Players!C38),"")</x:f>
      </x:c>
      <x:c r="D38" s="2" t="str">
        <x:f>IF(COUNTA(Players!A38:N38)&gt;0,IF(Players!D38="","",Players!D38),"")</x:f>
      </x:c>
      <x:c r="E38" s="17" t="str">
        <x:f>IF(COUNTA(Players!A38:N38)&gt;0,IF(Players!F38="","",Players!F38),"")</x:f>
      </x:c>
      <x:c r="F38" s="17" t="str">
        <x:f>IF(COUNTA(Players!A38:N38)&gt;0,IF(Players!G38="","",Players!G38),"")</x:f>
      </x:c>
      <x:c r="G38" s="2" t="str">
        <x:f>IF(COUNTA(Players!A38:N38)&gt;0,IF(Players!H38="","",Players!H38),"")</x:f>
      </x:c>
      <x:c r="H38" s="2" t="str">
        <x:f>IF(COUNTA(Players!A38:N38)&gt;0,COUNT(Players!I38:N38),"")</x:f>
      </x:c>
      <x:c r="I38" s="2" t="str">
        <x:f>IF(COUNTA(Players!A38:N38)&gt;0,COUNTIF(Players!$A$2:$A$61,A38),"")</x:f>
      </x:c>
      <x:c r="J38" s="2" t="str">
        <x:f>IF(NOT(COUNTA(Players!A38:N38)&gt;0),"",IF(OR(A38="",B38=""),"Missing identity",IF(I38&gt;1,"Duplicate ID",IF(OR(COUNT(Players!D38:H38)&lt;&gt;5,H38&lt;&gt;6),"Missing numeric data",IF(OR(D38&lt;15,D38&gt;50,O38&lt;0,E38&lt;O38,F38&lt;0,G38&lt;0,MIN(Players!I38:N38)&lt;1,MAX(Players!I38:N38)&gt;20,COUNTIF(Settings!$B$17:$B$20,C38)&lt;&gt;1),"Invalid input","OK")))))</x:f>
      </x:c>
      <x:c r="K38" s="19" t="str">
        <x:f>IF(AND(J38="OK",Settings!$E$24="OK",Settings!$C$14="OK"),SUMPRODUCT(Players!I38:N38,Settings!$C$22:$H$22)/20*100,"")</x:f>
      </x:c>
      <x:c r="L38" s="17" t="str">
        <x:f>IF(J38="OK",E38+F38*Settings!$C$12*Settings!$C$11,"")</x:f>
      </x:c>
      <x:c r="M38" s="2" t="str">
        <x:f>IF(J38="","",IF(J38&lt;&gt;"OK","Fix data",IF(Settings!$C$14&lt;&gt;"OK","Fix settings",IF(Settings!$E$24&lt;&gt;"OK","Fix weights",IF(C38&lt;&gt;Settings!$C$6,"Different position",IF(D38&gt;Settings!$C$9,"Age limit",IF(E38&gt;Settings!$C$7,"Fee limit",IF(F38&gt;Settings!$C$8,"Wage limit",IF(G38&lt;Settings!$C$10,"Minutes limit","Eligible")))))))))</x:f>
      </x:c>
      <x:c r="N38" s="2" t="str">
        <x:f>IF(M38="Eligible",COUNTIFS($M$2:$M$61,"Eligible",$K$2:$K$61,"&gt;"&amp;K38)+COUNTIFS($M$2:M38,"Eligible",$K$2:K38,K38),"")</x:f>
      </x:c>
      <x:c r="O38" s="17" t="str">
        <x:f>IF(COUNTA(Players!A38:N38)&gt;0,IF(Players!E38="","",Players!E38),"")</x:f>
      </x:c>
      <x:c r="P38" s="2" t="str">
        <x:f>IF(M38&lt;&gt;"Eligible","",COUNTIFS($M$2:$M$61,"Eligible",$K$2:$K$61,"&gt;"&amp;K38,$L$2:$L$61,"&lt;="&amp;L38)+COUNTIFS($M$2:$M$61,"Eligible",$K$2:$K$61,K38,$L$2:$L$61,"&lt;"&amp;L38))</x:f>
      </x:c>
      <x:c r="Q38" s="2" t="str">
        <x:f>IF(M38&lt;&gt;"Eligible","",IF(P38=0,"Frontier","Dominated"))</x:f>
      </x:c>
    </x:row>
    <x:row r="39" ht="23" customHeight="1">
      <x:c r="A39" s="2" t="str">
        <x:f>IF(COUNTA(Players!A39:N39)&gt;0,IF(Players!A39="","",Players!A39),"")</x:f>
      </x:c>
      <x:c r="B39" s="2" t="str">
        <x:f>IF(COUNTA(Players!A39:N39)&gt;0,IF(Players!B39="","",Players!B39),"")</x:f>
      </x:c>
      <x:c r="C39" s="2" t="str">
        <x:f>IF(COUNTA(Players!A39:N39)&gt;0,IF(Players!C39="","",Players!C39),"")</x:f>
      </x:c>
      <x:c r="D39" s="2" t="str">
        <x:f>IF(COUNTA(Players!A39:N39)&gt;0,IF(Players!D39="","",Players!D39),"")</x:f>
      </x:c>
      <x:c r="E39" s="17" t="str">
        <x:f>IF(COUNTA(Players!A39:N39)&gt;0,IF(Players!F39="","",Players!F39),"")</x:f>
      </x:c>
      <x:c r="F39" s="17" t="str">
        <x:f>IF(COUNTA(Players!A39:N39)&gt;0,IF(Players!G39="","",Players!G39),"")</x:f>
      </x:c>
      <x:c r="G39" s="2" t="str">
        <x:f>IF(COUNTA(Players!A39:N39)&gt;0,IF(Players!H39="","",Players!H39),"")</x:f>
      </x:c>
      <x:c r="H39" s="2" t="str">
        <x:f>IF(COUNTA(Players!A39:N39)&gt;0,COUNT(Players!I39:N39),"")</x:f>
      </x:c>
      <x:c r="I39" s="2" t="str">
        <x:f>IF(COUNTA(Players!A39:N39)&gt;0,COUNTIF(Players!$A$2:$A$61,A39),"")</x:f>
      </x:c>
      <x:c r="J39" s="2" t="str">
        <x:f>IF(NOT(COUNTA(Players!A39:N39)&gt;0),"",IF(OR(A39="",B39=""),"Missing identity",IF(I39&gt;1,"Duplicate ID",IF(OR(COUNT(Players!D39:H39)&lt;&gt;5,H39&lt;&gt;6),"Missing numeric data",IF(OR(D39&lt;15,D39&gt;50,O39&lt;0,E39&lt;O39,F39&lt;0,G39&lt;0,MIN(Players!I39:N39)&lt;1,MAX(Players!I39:N39)&gt;20,COUNTIF(Settings!$B$17:$B$20,C39)&lt;&gt;1),"Invalid input","OK")))))</x:f>
      </x:c>
      <x:c r="K39" s="19" t="str">
        <x:f>IF(AND(J39="OK",Settings!$E$24="OK",Settings!$C$14="OK"),SUMPRODUCT(Players!I39:N39,Settings!$C$22:$H$22)/20*100,"")</x:f>
      </x:c>
      <x:c r="L39" s="17" t="str">
        <x:f>IF(J39="OK",E39+F39*Settings!$C$12*Settings!$C$11,"")</x:f>
      </x:c>
      <x:c r="M39" s="2" t="str">
        <x:f>IF(J39="","",IF(J39&lt;&gt;"OK","Fix data",IF(Settings!$C$14&lt;&gt;"OK","Fix settings",IF(Settings!$E$24&lt;&gt;"OK","Fix weights",IF(C39&lt;&gt;Settings!$C$6,"Different position",IF(D39&gt;Settings!$C$9,"Age limit",IF(E39&gt;Settings!$C$7,"Fee limit",IF(F39&gt;Settings!$C$8,"Wage limit",IF(G39&lt;Settings!$C$10,"Minutes limit","Eligible")))))))))</x:f>
      </x:c>
      <x:c r="N39" s="2" t="str">
        <x:f>IF(M39="Eligible",COUNTIFS($M$2:$M$61,"Eligible",$K$2:$K$61,"&gt;"&amp;K39)+COUNTIFS($M$2:M39,"Eligible",$K$2:K39,K39),"")</x:f>
      </x:c>
      <x:c r="O39" s="17" t="str">
        <x:f>IF(COUNTA(Players!A39:N39)&gt;0,IF(Players!E39="","",Players!E39),"")</x:f>
      </x:c>
      <x:c r="P39" s="2" t="str">
        <x:f>IF(M39&lt;&gt;"Eligible","",COUNTIFS($M$2:$M$61,"Eligible",$K$2:$K$61,"&gt;"&amp;K39,$L$2:$L$61,"&lt;="&amp;L39)+COUNTIFS($M$2:$M$61,"Eligible",$K$2:$K$61,K39,$L$2:$L$61,"&lt;"&amp;L39))</x:f>
      </x:c>
      <x:c r="Q39" s="2" t="str">
        <x:f>IF(M39&lt;&gt;"Eligible","",IF(P39=0,"Frontier","Dominated"))</x:f>
      </x:c>
    </x:row>
    <x:row r="40" ht="23" customHeight="1">
      <x:c r="A40" s="2" t="str">
        <x:f>IF(COUNTA(Players!A40:N40)&gt;0,IF(Players!A40="","",Players!A40),"")</x:f>
      </x:c>
      <x:c r="B40" s="2" t="str">
        <x:f>IF(COUNTA(Players!A40:N40)&gt;0,IF(Players!B40="","",Players!B40),"")</x:f>
      </x:c>
      <x:c r="C40" s="2" t="str">
        <x:f>IF(COUNTA(Players!A40:N40)&gt;0,IF(Players!C40="","",Players!C40),"")</x:f>
      </x:c>
      <x:c r="D40" s="2" t="str">
        <x:f>IF(COUNTA(Players!A40:N40)&gt;0,IF(Players!D40="","",Players!D40),"")</x:f>
      </x:c>
      <x:c r="E40" s="17" t="str">
        <x:f>IF(COUNTA(Players!A40:N40)&gt;0,IF(Players!F40="","",Players!F40),"")</x:f>
      </x:c>
      <x:c r="F40" s="17" t="str">
        <x:f>IF(COUNTA(Players!A40:N40)&gt;0,IF(Players!G40="","",Players!G40),"")</x:f>
      </x:c>
      <x:c r="G40" s="2" t="str">
        <x:f>IF(COUNTA(Players!A40:N40)&gt;0,IF(Players!H40="","",Players!H40),"")</x:f>
      </x:c>
      <x:c r="H40" s="2" t="str">
        <x:f>IF(COUNTA(Players!A40:N40)&gt;0,COUNT(Players!I40:N40),"")</x:f>
      </x:c>
      <x:c r="I40" s="2" t="str">
        <x:f>IF(COUNTA(Players!A40:N40)&gt;0,COUNTIF(Players!$A$2:$A$61,A40),"")</x:f>
      </x:c>
      <x:c r="J40" s="2" t="str">
        <x:f>IF(NOT(COUNTA(Players!A40:N40)&gt;0),"",IF(OR(A40="",B40=""),"Missing identity",IF(I40&gt;1,"Duplicate ID",IF(OR(COUNT(Players!D40:H40)&lt;&gt;5,H40&lt;&gt;6),"Missing numeric data",IF(OR(D40&lt;15,D40&gt;50,O40&lt;0,E40&lt;O40,F40&lt;0,G40&lt;0,MIN(Players!I40:N40)&lt;1,MAX(Players!I40:N40)&gt;20,COUNTIF(Settings!$B$17:$B$20,C40)&lt;&gt;1),"Invalid input","OK")))))</x:f>
      </x:c>
      <x:c r="K40" s="19" t="str">
        <x:f>IF(AND(J40="OK",Settings!$E$24="OK",Settings!$C$14="OK"),SUMPRODUCT(Players!I40:N40,Settings!$C$22:$H$22)/20*100,"")</x:f>
      </x:c>
      <x:c r="L40" s="17" t="str">
        <x:f>IF(J40="OK",E40+F40*Settings!$C$12*Settings!$C$11,"")</x:f>
      </x:c>
      <x:c r="M40" s="2" t="str">
        <x:f>IF(J40="","",IF(J40&lt;&gt;"OK","Fix data",IF(Settings!$C$14&lt;&gt;"OK","Fix settings",IF(Settings!$E$24&lt;&gt;"OK","Fix weights",IF(C40&lt;&gt;Settings!$C$6,"Different position",IF(D40&gt;Settings!$C$9,"Age limit",IF(E40&gt;Settings!$C$7,"Fee limit",IF(F40&gt;Settings!$C$8,"Wage limit",IF(G40&lt;Settings!$C$10,"Minutes limit","Eligible")))))))))</x:f>
      </x:c>
      <x:c r="N40" s="2" t="str">
        <x:f>IF(M40="Eligible",COUNTIFS($M$2:$M$61,"Eligible",$K$2:$K$61,"&gt;"&amp;K40)+COUNTIFS($M$2:M40,"Eligible",$K$2:K40,K40),"")</x:f>
      </x:c>
      <x:c r="O40" s="17" t="str">
        <x:f>IF(COUNTA(Players!A40:N40)&gt;0,IF(Players!E40="","",Players!E40),"")</x:f>
      </x:c>
      <x:c r="P40" s="2" t="str">
        <x:f>IF(M40&lt;&gt;"Eligible","",COUNTIFS($M$2:$M$61,"Eligible",$K$2:$K$61,"&gt;"&amp;K40,$L$2:$L$61,"&lt;="&amp;L40)+COUNTIFS($M$2:$M$61,"Eligible",$K$2:$K$61,K40,$L$2:$L$61,"&lt;"&amp;L40))</x:f>
      </x:c>
      <x:c r="Q40" s="2" t="str">
        <x:f>IF(M40&lt;&gt;"Eligible","",IF(P40=0,"Frontier","Dominated"))</x:f>
      </x:c>
    </x:row>
    <x:row r="41" ht="23" customHeight="1">
      <x:c r="A41" s="2" t="str">
        <x:f>IF(COUNTA(Players!A41:N41)&gt;0,IF(Players!A41="","",Players!A41),"")</x:f>
      </x:c>
      <x:c r="B41" s="2" t="str">
        <x:f>IF(COUNTA(Players!A41:N41)&gt;0,IF(Players!B41="","",Players!B41),"")</x:f>
      </x:c>
      <x:c r="C41" s="2" t="str">
        <x:f>IF(COUNTA(Players!A41:N41)&gt;0,IF(Players!C41="","",Players!C41),"")</x:f>
      </x:c>
      <x:c r="D41" s="2" t="str">
        <x:f>IF(COUNTA(Players!A41:N41)&gt;0,IF(Players!D41="","",Players!D41),"")</x:f>
      </x:c>
      <x:c r="E41" s="17" t="str">
        <x:f>IF(COUNTA(Players!A41:N41)&gt;0,IF(Players!F41="","",Players!F41),"")</x:f>
      </x:c>
      <x:c r="F41" s="17" t="str">
        <x:f>IF(COUNTA(Players!A41:N41)&gt;0,IF(Players!G41="","",Players!G41),"")</x:f>
      </x:c>
      <x:c r="G41" s="2" t="str">
        <x:f>IF(COUNTA(Players!A41:N41)&gt;0,IF(Players!H41="","",Players!H41),"")</x:f>
      </x:c>
      <x:c r="H41" s="2" t="str">
        <x:f>IF(COUNTA(Players!A41:N41)&gt;0,COUNT(Players!I41:N41),"")</x:f>
      </x:c>
      <x:c r="I41" s="2" t="str">
        <x:f>IF(COUNTA(Players!A41:N41)&gt;0,COUNTIF(Players!$A$2:$A$61,A41),"")</x:f>
      </x:c>
      <x:c r="J41" s="2" t="str">
        <x:f>IF(NOT(COUNTA(Players!A41:N41)&gt;0),"",IF(OR(A41="",B41=""),"Missing identity",IF(I41&gt;1,"Duplicate ID",IF(OR(COUNT(Players!D41:H41)&lt;&gt;5,H41&lt;&gt;6),"Missing numeric data",IF(OR(D41&lt;15,D41&gt;50,O41&lt;0,E41&lt;O41,F41&lt;0,G41&lt;0,MIN(Players!I41:N41)&lt;1,MAX(Players!I41:N41)&gt;20,COUNTIF(Settings!$B$17:$B$20,C41)&lt;&gt;1),"Invalid input","OK")))))</x:f>
      </x:c>
      <x:c r="K41" s="19" t="str">
        <x:f>IF(AND(J41="OK",Settings!$E$24="OK",Settings!$C$14="OK"),SUMPRODUCT(Players!I41:N41,Settings!$C$22:$H$22)/20*100,"")</x:f>
      </x:c>
      <x:c r="L41" s="17" t="str">
        <x:f>IF(J41="OK",E41+F41*Settings!$C$12*Settings!$C$11,"")</x:f>
      </x:c>
      <x:c r="M41" s="2" t="str">
        <x:f>IF(J41="","",IF(J41&lt;&gt;"OK","Fix data",IF(Settings!$C$14&lt;&gt;"OK","Fix settings",IF(Settings!$E$24&lt;&gt;"OK","Fix weights",IF(C41&lt;&gt;Settings!$C$6,"Different position",IF(D41&gt;Settings!$C$9,"Age limit",IF(E41&gt;Settings!$C$7,"Fee limit",IF(F41&gt;Settings!$C$8,"Wage limit",IF(G41&lt;Settings!$C$10,"Minutes limit","Eligible")))))))))</x:f>
      </x:c>
      <x:c r="N41" s="2" t="str">
        <x:f>IF(M41="Eligible",COUNTIFS($M$2:$M$61,"Eligible",$K$2:$K$61,"&gt;"&amp;K41)+COUNTIFS($M$2:M41,"Eligible",$K$2:K41,K41),"")</x:f>
      </x:c>
      <x:c r="O41" s="17" t="str">
        <x:f>IF(COUNTA(Players!A41:N41)&gt;0,IF(Players!E41="","",Players!E41),"")</x:f>
      </x:c>
      <x:c r="P41" s="2" t="str">
        <x:f>IF(M41&lt;&gt;"Eligible","",COUNTIFS($M$2:$M$61,"Eligible",$K$2:$K$61,"&gt;"&amp;K41,$L$2:$L$61,"&lt;="&amp;L41)+COUNTIFS($M$2:$M$61,"Eligible",$K$2:$K$61,K41,$L$2:$L$61,"&lt;"&amp;L41))</x:f>
      </x:c>
      <x:c r="Q41" s="2" t="str">
        <x:f>IF(M41&lt;&gt;"Eligible","",IF(P41=0,"Frontier","Dominated"))</x:f>
      </x:c>
    </x:row>
    <x:row r="42" ht="23" customHeight="1">
      <x:c r="A42" s="2" t="str">
        <x:f>IF(COUNTA(Players!A42:N42)&gt;0,IF(Players!A42="","",Players!A42),"")</x:f>
      </x:c>
      <x:c r="B42" s="2" t="str">
        <x:f>IF(COUNTA(Players!A42:N42)&gt;0,IF(Players!B42="","",Players!B42),"")</x:f>
      </x:c>
      <x:c r="C42" s="2" t="str">
        <x:f>IF(COUNTA(Players!A42:N42)&gt;0,IF(Players!C42="","",Players!C42),"")</x:f>
      </x:c>
      <x:c r="D42" s="2" t="str">
        <x:f>IF(COUNTA(Players!A42:N42)&gt;0,IF(Players!D42="","",Players!D42),"")</x:f>
      </x:c>
      <x:c r="E42" s="17" t="str">
        <x:f>IF(COUNTA(Players!A42:N42)&gt;0,IF(Players!F42="","",Players!F42),"")</x:f>
      </x:c>
      <x:c r="F42" s="17" t="str">
        <x:f>IF(COUNTA(Players!A42:N42)&gt;0,IF(Players!G42="","",Players!G42),"")</x:f>
      </x:c>
      <x:c r="G42" s="2" t="str">
        <x:f>IF(COUNTA(Players!A42:N42)&gt;0,IF(Players!H42="","",Players!H42),"")</x:f>
      </x:c>
      <x:c r="H42" s="2" t="str">
        <x:f>IF(COUNTA(Players!A42:N42)&gt;0,COUNT(Players!I42:N42),"")</x:f>
      </x:c>
      <x:c r="I42" s="2" t="str">
        <x:f>IF(COUNTA(Players!A42:N42)&gt;0,COUNTIF(Players!$A$2:$A$61,A42),"")</x:f>
      </x:c>
      <x:c r="J42" s="2" t="str">
        <x:f>IF(NOT(COUNTA(Players!A42:N42)&gt;0),"",IF(OR(A42="",B42=""),"Missing identity",IF(I42&gt;1,"Duplicate ID",IF(OR(COUNT(Players!D42:H42)&lt;&gt;5,H42&lt;&gt;6),"Missing numeric data",IF(OR(D42&lt;15,D42&gt;50,O42&lt;0,E42&lt;O42,F42&lt;0,G42&lt;0,MIN(Players!I42:N42)&lt;1,MAX(Players!I42:N42)&gt;20,COUNTIF(Settings!$B$17:$B$20,C42)&lt;&gt;1),"Invalid input","OK")))))</x:f>
      </x:c>
      <x:c r="K42" s="19" t="str">
        <x:f>IF(AND(J42="OK",Settings!$E$24="OK",Settings!$C$14="OK"),SUMPRODUCT(Players!I42:N42,Settings!$C$22:$H$22)/20*100,"")</x:f>
      </x:c>
      <x:c r="L42" s="17" t="str">
        <x:f>IF(J42="OK",E42+F42*Settings!$C$12*Settings!$C$11,"")</x:f>
      </x:c>
      <x:c r="M42" s="2" t="str">
        <x:f>IF(J42="","",IF(J42&lt;&gt;"OK","Fix data",IF(Settings!$C$14&lt;&gt;"OK","Fix settings",IF(Settings!$E$24&lt;&gt;"OK","Fix weights",IF(C42&lt;&gt;Settings!$C$6,"Different position",IF(D42&gt;Settings!$C$9,"Age limit",IF(E42&gt;Settings!$C$7,"Fee limit",IF(F42&gt;Settings!$C$8,"Wage limit",IF(G42&lt;Settings!$C$10,"Minutes limit","Eligible")))))))))</x:f>
      </x:c>
      <x:c r="N42" s="2" t="str">
        <x:f>IF(M42="Eligible",COUNTIFS($M$2:$M$61,"Eligible",$K$2:$K$61,"&gt;"&amp;K42)+COUNTIFS($M$2:M42,"Eligible",$K$2:K42,K42),"")</x:f>
      </x:c>
      <x:c r="O42" s="17" t="str">
        <x:f>IF(COUNTA(Players!A42:N42)&gt;0,IF(Players!E42="","",Players!E42),"")</x:f>
      </x:c>
      <x:c r="P42" s="2" t="str">
        <x:f>IF(M42&lt;&gt;"Eligible","",COUNTIFS($M$2:$M$61,"Eligible",$K$2:$K$61,"&gt;"&amp;K42,$L$2:$L$61,"&lt;="&amp;L42)+COUNTIFS($M$2:$M$61,"Eligible",$K$2:$K$61,K42,$L$2:$L$61,"&lt;"&amp;L42))</x:f>
      </x:c>
      <x:c r="Q42" s="2" t="str">
        <x:f>IF(M42&lt;&gt;"Eligible","",IF(P42=0,"Frontier","Dominated"))</x:f>
      </x:c>
    </x:row>
    <x:row r="43" ht="23" customHeight="1">
      <x:c r="A43" s="2" t="str">
        <x:f>IF(COUNTA(Players!A43:N43)&gt;0,IF(Players!A43="","",Players!A43),"")</x:f>
      </x:c>
      <x:c r="B43" s="2" t="str">
        <x:f>IF(COUNTA(Players!A43:N43)&gt;0,IF(Players!B43="","",Players!B43),"")</x:f>
      </x:c>
      <x:c r="C43" s="2" t="str">
        <x:f>IF(COUNTA(Players!A43:N43)&gt;0,IF(Players!C43="","",Players!C43),"")</x:f>
      </x:c>
      <x:c r="D43" s="2" t="str">
        <x:f>IF(COUNTA(Players!A43:N43)&gt;0,IF(Players!D43="","",Players!D43),"")</x:f>
      </x:c>
      <x:c r="E43" s="17" t="str">
        <x:f>IF(COUNTA(Players!A43:N43)&gt;0,IF(Players!F43="","",Players!F43),"")</x:f>
      </x:c>
      <x:c r="F43" s="17" t="str">
        <x:f>IF(COUNTA(Players!A43:N43)&gt;0,IF(Players!G43="","",Players!G43),"")</x:f>
      </x:c>
      <x:c r="G43" s="2" t="str">
        <x:f>IF(COUNTA(Players!A43:N43)&gt;0,IF(Players!H43="","",Players!H43),"")</x:f>
      </x:c>
      <x:c r="H43" s="2" t="str">
        <x:f>IF(COUNTA(Players!A43:N43)&gt;0,COUNT(Players!I43:N43),"")</x:f>
      </x:c>
      <x:c r="I43" s="2" t="str">
        <x:f>IF(COUNTA(Players!A43:N43)&gt;0,COUNTIF(Players!$A$2:$A$61,A43),"")</x:f>
      </x:c>
      <x:c r="J43" s="2" t="str">
        <x:f>IF(NOT(COUNTA(Players!A43:N43)&gt;0),"",IF(OR(A43="",B43=""),"Missing identity",IF(I43&gt;1,"Duplicate ID",IF(OR(COUNT(Players!D43:H43)&lt;&gt;5,H43&lt;&gt;6),"Missing numeric data",IF(OR(D43&lt;15,D43&gt;50,O43&lt;0,E43&lt;O43,F43&lt;0,G43&lt;0,MIN(Players!I43:N43)&lt;1,MAX(Players!I43:N43)&gt;20,COUNTIF(Settings!$B$17:$B$20,C43)&lt;&gt;1),"Invalid input","OK")))))</x:f>
      </x:c>
      <x:c r="K43" s="19" t="str">
        <x:f>IF(AND(J43="OK",Settings!$E$24="OK",Settings!$C$14="OK"),SUMPRODUCT(Players!I43:N43,Settings!$C$22:$H$22)/20*100,"")</x:f>
      </x:c>
      <x:c r="L43" s="17" t="str">
        <x:f>IF(J43="OK",E43+F43*Settings!$C$12*Settings!$C$11,"")</x:f>
      </x:c>
      <x:c r="M43" s="2" t="str">
        <x:f>IF(J43="","",IF(J43&lt;&gt;"OK","Fix data",IF(Settings!$C$14&lt;&gt;"OK","Fix settings",IF(Settings!$E$24&lt;&gt;"OK","Fix weights",IF(C43&lt;&gt;Settings!$C$6,"Different position",IF(D43&gt;Settings!$C$9,"Age limit",IF(E43&gt;Settings!$C$7,"Fee limit",IF(F43&gt;Settings!$C$8,"Wage limit",IF(G43&lt;Settings!$C$10,"Minutes limit","Eligible")))))))))</x:f>
      </x:c>
      <x:c r="N43" s="2" t="str">
        <x:f>IF(M43="Eligible",COUNTIFS($M$2:$M$61,"Eligible",$K$2:$K$61,"&gt;"&amp;K43)+COUNTIFS($M$2:M43,"Eligible",$K$2:K43,K43),"")</x:f>
      </x:c>
      <x:c r="O43" s="17" t="str">
        <x:f>IF(COUNTA(Players!A43:N43)&gt;0,IF(Players!E43="","",Players!E43),"")</x:f>
      </x:c>
      <x:c r="P43" s="2" t="str">
        <x:f>IF(M43&lt;&gt;"Eligible","",COUNTIFS($M$2:$M$61,"Eligible",$K$2:$K$61,"&gt;"&amp;K43,$L$2:$L$61,"&lt;="&amp;L43)+COUNTIFS($M$2:$M$61,"Eligible",$K$2:$K$61,K43,$L$2:$L$61,"&lt;"&amp;L43))</x:f>
      </x:c>
      <x:c r="Q43" s="2" t="str">
        <x:f>IF(M43&lt;&gt;"Eligible","",IF(P43=0,"Frontier","Dominated"))</x:f>
      </x:c>
    </x:row>
    <x:row r="44" ht="23" customHeight="1">
      <x:c r="A44" s="2" t="str">
        <x:f>IF(COUNTA(Players!A44:N44)&gt;0,IF(Players!A44="","",Players!A44),"")</x:f>
      </x:c>
      <x:c r="B44" s="2" t="str">
        <x:f>IF(COUNTA(Players!A44:N44)&gt;0,IF(Players!B44="","",Players!B44),"")</x:f>
      </x:c>
      <x:c r="C44" s="2" t="str">
        <x:f>IF(COUNTA(Players!A44:N44)&gt;0,IF(Players!C44="","",Players!C44),"")</x:f>
      </x:c>
      <x:c r="D44" s="2" t="str">
        <x:f>IF(COUNTA(Players!A44:N44)&gt;0,IF(Players!D44="","",Players!D44),"")</x:f>
      </x:c>
      <x:c r="E44" s="17" t="str">
        <x:f>IF(COUNTA(Players!A44:N44)&gt;0,IF(Players!F44="","",Players!F44),"")</x:f>
      </x:c>
      <x:c r="F44" s="17" t="str">
        <x:f>IF(COUNTA(Players!A44:N44)&gt;0,IF(Players!G44="","",Players!G44),"")</x:f>
      </x:c>
      <x:c r="G44" s="2" t="str">
        <x:f>IF(COUNTA(Players!A44:N44)&gt;0,IF(Players!H44="","",Players!H44),"")</x:f>
      </x:c>
      <x:c r="H44" s="2" t="str">
        <x:f>IF(COUNTA(Players!A44:N44)&gt;0,COUNT(Players!I44:N44),"")</x:f>
      </x:c>
      <x:c r="I44" s="2" t="str">
        <x:f>IF(COUNTA(Players!A44:N44)&gt;0,COUNTIF(Players!$A$2:$A$61,A44),"")</x:f>
      </x:c>
      <x:c r="J44" s="2" t="str">
        <x:f>IF(NOT(COUNTA(Players!A44:N44)&gt;0),"",IF(OR(A44="",B44=""),"Missing identity",IF(I44&gt;1,"Duplicate ID",IF(OR(COUNT(Players!D44:H44)&lt;&gt;5,H44&lt;&gt;6),"Missing numeric data",IF(OR(D44&lt;15,D44&gt;50,O44&lt;0,E44&lt;O44,F44&lt;0,G44&lt;0,MIN(Players!I44:N44)&lt;1,MAX(Players!I44:N44)&gt;20,COUNTIF(Settings!$B$17:$B$20,C44)&lt;&gt;1),"Invalid input","OK")))))</x:f>
      </x:c>
      <x:c r="K44" s="19" t="str">
        <x:f>IF(AND(J44="OK",Settings!$E$24="OK",Settings!$C$14="OK"),SUMPRODUCT(Players!I44:N44,Settings!$C$22:$H$22)/20*100,"")</x:f>
      </x:c>
      <x:c r="L44" s="17" t="str">
        <x:f>IF(J44="OK",E44+F44*Settings!$C$12*Settings!$C$11,"")</x:f>
      </x:c>
      <x:c r="M44" s="2" t="str">
        <x:f>IF(J44="","",IF(J44&lt;&gt;"OK","Fix data",IF(Settings!$C$14&lt;&gt;"OK","Fix settings",IF(Settings!$E$24&lt;&gt;"OK","Fix weights",IF(C44&lt;&gt;Settings!$C$6,"Different position",IF(D44&gt;Settings!$C$9,"Age limit",IF(E44&gt;Settings!$C$7,"Fee limit",IF(F44&gt;Settings!$C$8,"Wage limit",IF(G44&lt;Settings!$C$10,"Minutes limit","Eligible")))))))))</x:f>
      </x:c>
      <x:c r="N44" s="2" t="str">
        <x:f>IF(M44="Eligible",COUNTIFS($M$2:$M$61,"Eligible",$K$2:$K$61,"&gt;"&amp;K44)+COUNTIFS($M$2:M44,"Eligible",$K$2:K44,K44),"")</x:f>
      </x:c>
      <x:c r="O44" s="17" t="str">
        <x:f>IF(COUNTA(Players!A44:N44)&gt;0,IF(Players!E44="","",Players!E44),"")</x:f>
      </x:c>
      <x:c r="P44" s="2" t="str">
        <x:f>IF(M44&lt;&gt;"Eligible","",COUNTIFS($M$2:$M$61,"Eligible",$K$2:$K$61,"&gt;"&amp;K44,$L$2:$L$61,"&lt;="&amp;L44)+COUNTIFS($M$2:$M$61,"Eligible",$K$2:$K$61,K44,$L$2:$L$61,"&lt;"&amp;L44))</x:f>
      </x:c>
      <x:c r="Q44" s="2" t="str">
        <x:f>IF(M44&lt;&gt;"Eligible","",IF(P44=0,"Frontier","Dominated"))</x:f>
      </x:c>
    </x:row>
    <x:row r="45" ht="23" customHeight="1">
      <x:c r="A45" s="2" t="str">
        <x:f>IF(COUNTA(Players!A45:N45)&gt;0,IF(Players!A45="","",Players!A45),"")</x:f>
      </x:c>
      <x:c r="B45" s="2" t="str">
        <x:f>IF(COUNTA(Players!A45:N45)&gt;0,IF(Players!B45="","",Players!B45),"")</x:f>
      </x:c>
      <x:c r="C45" s="2" t="str">
        <x:f>IF(COUNTA(Players!A45:N45)&gt;0,IF(Players!C45="","",Players!C45),"")</x:f>
      </x:c>
      <x:c r="D45" s="2" t="str">
        <x:f>IF(COUNTA(Players!A45:N45)&gt;0,IF(Players!D45="","",Players!D45),"")</x:f>
      </x:c>
      <x:c r="E45" s="17" t="str">
        <x:f>IF(COUNTA(Players!A45:N45)&gt;0,IF(Players!F45="","",Players!F45),"")</x:f>
      </x:c>
      <x:c r="F45" s="17" t="str">
        <x:f>IF(COUNTA(Players!A45:N45)&gt;0,IF(Players!G45="","",Players!G45),"")</x:f>
      </x:c>
      <x:c r="G45" s="2" t="str">
        <x:f>IF(COUNTA(Players!A45:N45)&gt;0,IF(Players!H45="","",Players!H45),"")</x:f>
      </x:c>
      <x:c r="H45" s="2" t="str">
        <x:f>IF(COUNTA(Players!A45:N45)&gt;0,COUNT(Players!I45:N45),"")</x:f>
      </x:c>
      <x:c r="I45" s="2" t="str">
        <x:f>IF(COUNTA(Players!A45:N45)&gt;0,COUNTIF(Players!$A$2:$A$61,A45),"")</x:f>
      </x:c>
      <x:c r="J45" s="2" t="str">
        <x:f>IF(NOT(COUNTA(Players!A45:N45)&gt;0),"",IF(OR(A45="",B45=""),"Missing identity",IF(I45&gt;1,"Duplicate ID",IF(OR(COUNT(Players!D45:H45)&lt;&gt;5,H45&lt;&gt;6),"Missing numeric data",IF(OR(D45&lt;15,D45&gt;50,O45&lt;0,E45&lt;O45,F45&lt;0,G45&lt;0,MIN(Players!I45:N45)&lt;1,MAX(Players!I45:N45)&gt;20,COUNTIF(Settings!$B$17:$B$20,C45)&lt;&gt;1),"Invalid input","OK")))))</x:f>
      </x:c>
      <x:c r="K45" s="19" t="str">
        <x:f>IF(AND(J45="OK",Settings!$E$24="OK",Settings!$C$14="OK"),SUMPRODUCT(Players!I45:N45,Settings!$C$22:$H$22)/20*100,"")</x:f>
      </x:c>
      <x:c r="L45" s="17" t="str">
        <x:f>IF(J45="OK",E45+F45*Settings!$C$12*Settings!$C$11,"")</x:f>
      </x:c>
      <x:c r="M45" s="2" t="str">
        <x:f>IF(J45="","",IF(J45&lt;&gt;"OK","Fix data",IF(Settings!$C$14&lt;&gt;"OK","Fix settings",IF(Settings!$E$24&lt;&gt;"OK","Fix weights",IF(C45&lt;&gt;Settings!$C$6,"Different position",IF(D45&gt;Settings!$C$9,"Age limit",IF(E45&gt;Settings!$C$7,"Fee limit",IF(F45&gt;Settings!$C$8,"Wage limit",IF(G45&lt;Settings!$C$10,"Minutes limit","Eligible")))))))))</x:f>
      </x:c>
      <x:c r="N45" s="2" t="str">
        <x:f>IF(M45="Eligible",COUNTIFS($M$2:$M$61,"Eligible",$K$2:$K$61,"&gt;"&amp;K45)+COUNTIFS($M$2:M45,"Eligible",$K$2:K45,K45),"")</x:f>
      </x:c>
      <x:c r="O45" s="17" t="str">
        <x:f>IF(COUNTA(Players!A45:N45)&gt;0,IF(Players!E45="","",Players!E45),"")</x:f>
      </x:c>
      <x:c r="P45" s="2" t="str">
        <x:f>IF(M45&lt;&gt;"Eligible","",COUNTIFS($M$2:$M$61,"Eligible",$K$2:$K$61,"&gt;"&amp;K45,$L$2:$L$61,"&lt;="&amp;L45)+COUNTIFS($M$2:$M$61,"Eligible",$K$2:$K$61,K45,$L$2:$L$61,"&lt;"&amp;L45))</x:f>
      </x:c>
      <x:c r="Q45" s="2" t="str">
        <x:f>IF(M45&lt;&gt;"Eligible","",IF(P45=0,"Frontier","Dominated"))</x:f>
      </x:c>
    </x:row>
    <x:row r="46" ht="23" customHeight="1">
      <x:c r="A46" s="2" t="str">
        <x:f>IF(COUNTA(Players!A46:N46)&gt;0,IF(Players!A46="","",Players!A46),"")</x:f>
      </x:c>
      <x:c r="B46" s="2" t="str">
        <x:f>IF(COUNTA(Players!A46:N46)&gt;0,IF(Players!B46="","",Players!B46),"")</x:f>
      </x:c>
      <x:c r="C46" s="2" t="str">
        <x:f>IF(COUNTA(Players!A46:N46)&gt;0,IF(Players!C46="","",Players!C46),"")</x:f>
      </x:c>
      <x:c r="D46" s="2" t="str">
        <x:f>IF(COUNTA(Players!A46:N46)&gt;0,IF(Players!D46="","",Players!D46),"")</x:f>
      </x:c>
      <x:c r="E46" s="17" t="str">
        <x:f>IF(COUNTA(Players!A46:N46)&gt;0,IF(Players!F46="","",Players!F46),"")</x:f>
      </x:c>
      <x:c r="F46" s="17" t="str">
        <x:f>IF(COUNTA(Players!A46:N46)&gt;0,IF(Players!G46="","",Players!G46),"")</x:f>
      </x:c>
      <x:c r="G46" s="2" t="str">
        <x:f>IF(COUNTA(Players!A46:N46)&gt;0,IF(Players!H46="","",Players!H46),"")</x:f>
      </x:c>
      <x:c r="H46" s="2" t="str">
        <x:f>IF(COUNTA(Players!A46:N46)&gt;0,COUNT(Players!I46:N46),"")</x:f>
      </x:c>
      <x:c r="I46" s="2" t="str">
        <x:f>IF(COUNTA(Players!A46:N46)&gt;0,COUNTIF(Players!$A$2:$A$61,A46),"")</x:f>
      </x:c>
      <x:c r="J46" s="2" t="str">
        <x:f>IF(NOT(COUNTA(Players!A46:N46)&gt;0),"",IF(OR(A46="",B46=""),"Missing identity",IF(I46&gt;1,"Duplicate ID",IF(OR(COUNT(Players!D46:H46)&lt;&gt;5,H46&lt;&gt;6),"Missing numeric data",IF(OR(D46&lt;15,D46&gt;50,O46&lt;0,E46&lt;O46,F46&lt;0,G46&lt;0,MIN(Players!I46:N46)&lt;1,MAX(Players!I46:N46)&gt;20,COUNTIF(Settings!$B$17:$B$20,C46)&lt;&gt;1),"Invalid input","OK")))))</x:f>
      </x:c>
      <x:c r="K46" s="19" t="str">
        <x:f>IF(AND(J46="OK",Settings!$E$24="OK",Settings!$C$14="OK"),SUMPRODUCT(Players!I46:N46,Settings!$C$22:$H$22)/20*100,"")</x:f>
      </x:c>
      <x:c r="L46" s="17" t="str">
        <x:f>IF(J46="OK",E46+F46*Settings!$C$12*Settings!$C$11,"")</x:f>
      </x:c>
      <x:c r="M46" s="2" t="str">
        <x:f>IF(J46="","",IF(J46&lt;&gt;"OK","Fix data",IF(Settings!$C$14&lt;&gt;"OK","Fix settings",IF(Settings!$E$24&lt;&gt;"OK","Fix weights",IF(C46&lt;&gt;Settings!$C$6,"Different position",IF(D46&gt;Settings!$C$9,"Age limit",IF(E46&gt;Settings!$C$7,"Fee limit",IF(F46&gt;Settings!$C$8,"Wage limit",IF(G46&lt;Settings!$C$10,"Minutes limit","Eligible")))))))))</x:f>
      </x:c>
      <x:c r="N46" s="2" t="str">
        <x:f>IF(M46="Eligible",COUNTIFS($M$2:$M$61,"Eligible",$K$2:$K$61,"&gt;"&amp;K46)+COUNTIFS($M$2:M46,"Eligible",$K$2:K46,K46),"")</x:f>
      </x:c>
      <x:c r="O46" s="17" t="str">
        <x:f>IF(COUNTA(Players!A46:N46)&gt;0,IF(Players!E46="","",Players!E46),"")</x:f>
      </x:c>
      <x:c r="P46" s="2" t="str">
        <x:f>IF(M46&lt;&gt;"Eligible","",COUNTIFS($M$2:$M$61,"Eligible",$K$2:$K$61,"&gt;"&amp;K46,$L$2:$L$61,"&lt;="&amp;L46)+COUNTIFS($M$2:$M$61,"Eligible",$K$2:$K$61,K46,$L$2:$L$61,"&lt;"&amp;L46))</x:f>
      </x:c>
      <x:c r="Q46" s="2" t="str">
        <x:f>IF(M46&lt;&gt;"Eligible","",IF(P46=0,"Frontier","Dominated"))</x:f>
      </x:c>
    </x:row>
    <x:row r="47" ht="23" customHeight="1">
      <x:c r="A47" s="2" t="str">
        <x:f>IF(COUNTA(Players!A47:N47)&gt;0,IF(Players!A47="","",Players!A47),"")</x:f>
      </x:c>
      <x:c r="B47" s="2" t="str">
        <x:f>IF(COUNTA(Players!A47:N47)&gt;0,IF(Players!B47="","",Players!B47),"")</x:f>
      </x:c>
      <x:c r="C47" s="2" t="str">
        <x:f>IF(COUNTA(Players!A47:N47)&gt;0,IF(Players!C47="","",Players!C47),"")</x:f>
      </x:c>
      <x:c r="D47" s="2" t="str">
        <x:f>IF(COUNTA(Players!A47:N47)&gt;0,IF(Players!D47="","",Players!D47),"")</x:f>
      </x:c>
      <x:c r="E47" s="17" t="str">
        <x:f>IF(COUNTA(Players!A47:N47)&gt;0,IF(Players!F47="","",Players!F47),"")</x:f>
      </x:c>
      <x:c r="F47" s="17" t="str">
        <x:f>IF(COUNTA(Players!A47:N47)&gt;0,IF(Players!G47="","",Players!G47),"")</x:f>
      </x:c>
      <x:c r="G47" s="2" t="str">
        <x:f>IF(COUNTA(Players!A47:N47)&gt;0,IF(Players!H47="","",Players!H47),"")</x:f>
      </x:c>
      <x:c r="H47" s="2" t="str">
        <x:f>IF(COUNTA(Players!A47:N47)&gt;0,COUNT(Players!I47:N47),"")</x:f>
      </x:c>
      <x:c r="I47" s="2" t="str">
        <x:f>IF(COUNTA(Players!A47:N47)&gt;0,COUNTIF(Players!$A$2:$A$61,A47),"")</x:f>
      </x:c>
      <x:c r="J47" s="2" t="str">
        <x:f>IF(NOT(COUNTA(Players!A47:N47)&gt;0),"",IF(OR(A47="",B47=""),"Missing identity",IF(I47&gt;1,"Duplicate ID",IF(OR(COUNT(Players!D47:H47)&lt;&gt;5,H47&lt;&gt;6),"Missing numeric data",IF(OR(D47&lt;15,D47&gt;50,O47&lt;0,E47&lt;O47,F47&lt;0,G47&lt;0,MIN(Players!I47:N47)&lt;1,MAX(Players!I47:N47)&gt;20,COUNTIF(Settings!$B$17:$B$20,C47)&lt;&gt;1),"Invalid input","OK")))))</x:f>
      </x:c>
      <x:c r="K47" s="19" t="str">
        <x:f>IF(AND(J47="OK",Settings!$E$24="OK",Settings!$C$14="OK"),SUMPRODUCT(Players!I47:N47,Settings!$C$22:$H$22)/20*100,"")</x:f>
      </x:c>
      <x:c r="L47" s="17" t="str">
        <x:f>IF(J47="OK",E47+F47*Settings!$C$12*Settings!$C$11,"")</x:f>
      </x:c>
      <x:c r="M47" s="2" t="str">
        <x:f>IF(J47="","",IF(J47&lt;&gt;"OK","Fix data",IF(Settings!$C$14&lt;&gt;"OK","Fix settings",IF(Settings!$E$24&lt;&gt;"OK","Fix weights",IF(C47&lt;&gt;Settings!$C$6,"Different position",IF(D47&gt;Settings!$C$9,"Age limit",IF(E47&gt;Settings!$C$7,"Fee limit",IF(F47&gt;Settings!$C$8,"Wage limit",IF(G47&lt;Settings!$C$10,"Minutes limit","Eligible")))))))))</x:f>
      </x:c>
      <x:c r="N47" s="2" t="str">
        <x:f>IF(M47="Eligible",COUNTIFS($M$2:$M$61,"Eligible",$K$2:$K$61,"&gt;"&amp;K47)+COUNTIFS($M$2:M47,"Eligible",$K$2:K47,K47),"")</x:f>
      </x:c>
      <x:c r="O47" s="17" t="str">
        <x:f>IF(COUNTA(Players!A47:N47)&gt;0,IF(Players!E47="","",Players!E47),"")</x:f>
      </x:c>
      <x:c r="P47" s="2" t="str">
        <x:f>IF(M47&lt;&gt;"Eligible","",COUNTIFS($M$2:$M$61,"Eligible",$K$2:$K$61,"&gt;"&amp;K47,$L$2:$L$61,"&lt;="&amp;L47)+COUNTIFS($M$2:$M$61,"Eligible",$K$2:$K$61,K47,$L$2:$L$61,"&lt;"&amp;L47))</x:f>
      </x:c>
      <x:c r="Q47" s="2" t="str">
        <x:f>IF(M47&lt;&gt;"Eligible","",IF(P47=0,"Frontier","Dominated"))</x:f>
      </x:c>
    </x:row>
    <x:row r="48" ht="23" customHeight="1">
      <x:c r="A48" s="2" t="str">
        <x:f>IF(COUNTA(Players!A48:N48)&gt;0,IF(Players!A48="","",Players!A48),"")</x:f>
      </x:c>
      <x:c r="B48" s="2" t="str">
        <x:f>IF(COUNTA(Players!A48:N48)&gt;0,IF(Players!B48="","",Players!B48),"")</x:f>
      </x:c>
      <x:c r="C48" s="2" t="str">
        <x:f>IF(COUNTA(Players!A48:N48)&gt;0,IF(Players!C48="","",Players!C48),"")</x:f>
      </x:c>
      <x:c r="D48" s="2" t="str">
        <x:f>IF(COUNTA(Players!A48:N48)&gt;0,IF(Players!D48="","",Players!D48),"")</x:f>
      </x:c>
      <x:c r="E48" s="17" t="str">
        <x:f>IF(COUNTA(Players!A48:N48)&gt;0,IF(Players!F48="","",Players!F48),"")</x:f>
      </x:c>
      <x:c r="F48" s="17" t="str">
        <x:f>IF(COUNTA(Players!A48:N48)&gt;0,IF(Players!G48="","",Players!G48),"")</x:f>
      </x:c>
      <x:c r="G48" s="2" t="str">
        <x:f>IF(COUNTA(Players!A48:N48)&gt;0,IF(Players!H48="","",Players!H48),"")</x:f>
      </x:c>
      <x:c r="H48" s="2" t="str">
        <x:f>IF(COUNTA(Players!A48:N48)&gt;0,COUNT(Players!I48:N48),"")</x:f>
      </x:c>
      <x:c r="I48" s="2" t="str">
        <x:f>IF(COUNTA(Players!A48:N48)&gt;0,COUNTIF(Players!$A$2:$A$61,A48),"")</x:f>
      </x:c>
      <x:c r="J48" s="2" t="str">
        <x:f>IF(NOT(COUNTA(Players!A48:N48)&gt;0),"",IF(OR(A48="",B48=""),"Missing identity",IF(I48&gt;1,"Duplicate ID",IF(OR(COUNT(Players!D48:H48)&lt;&gt;5,H48&lt;&gt;6),"Missing numeric data",IF(OR(D48&lt;15,D48&gt;50,O48&lt;0,E48&lt;O48,F48&lt;0,G48&lt;0,MIN(Players!I48:N48)&lt;1,MAX(Players!I48:N48)&gt;20,COUNTIF(Settings!$B$17:$B$20,C48)&lt;&gt;1),"Invalid input","OK")))))</x:f>
      </x:c>
      <x:c r="K48" s="19" t="str">
        <x:f>IF(AND(J48="OK",Settings!$E$24="OK",Settings!$C$14="OK"),SUMPRODUCT(Players!I48:N48,Settings!$C$22:$H$22)/20*100,"")</x:f>
      </x:c>
      <x:c r="L48" s="17" t="str">
        <x:f>IF(J48="OK",E48+F48*Settings!$C$12*Settings!$C$11,"")</x:f>
      </x:c>
      <x:c r="M48" s="2" t="str">
        <x:f>IF(J48="","",IF(J48&lt;&gt;"OK","Fix data",IF(Settings!$C$14&lt;&gt;"OK","Fix settings",IF(Settings!$E$24&lt;&gt;"OK","Fix weights",IF(C48&lt;&gt;Settings!$C$6,"Different position",IF(D48&gt;Settings!$C$9,"Age limit",IF(E48&gt;Settings!$C$7,"Fee limit",IF(F48&gt;Settings!$C$8,"Wage limit",IF(G48&lt;Settings!$C$10,"Minutes limit","Eligible")))))))))</x:f>
      </x:c>
      <x:c r="N48" s="2" t="str">
        <x:f>IF(M48="Eligible",COUNTIFS($M$2:$M$61,"Eligible",$K$2:$K$61,"&gt;"&amp;K48)+COUNTIFS($M$2:M48,"Eligible",$K$2:K48,K48),"")</x:f>
      </x:c>
      <x:c r="O48" s="17" t="str">
        <x:f>IF(COUNTA(Players!A48:N48)&gt;0,IF(Players!E48="","",Players!E48),"")</x:f>
      </x:c>
      <x:c r="P48" s="2" t="str">
        <x:f>IF(M48&lt;&gt;"Eligible","",COUNTIFS($M$2:$M$61,"Eligible",$K$2:$K$61,"&gt;"&amp;K48,$L$2:$L$61,"&lt;="&amp;L48)+COUNTIFS($M$2:$M$61,"Eligible",$K$2:$K$61,K48,$L$2:$L$61,"&lt;"&amp;L48))</x:f>
      </x:c>
      <x:c r="Q48" s="2" t="str">
        <x:f>IF(M48&lt;&gt;"Eligible","",IF(P48=0,"Frontier","Dominated"))</x:f>
      </x:c>
    </x:row>
    <x:row r="49" ht="23" customHeight="1">
      <x:c r="A49" s="2" t="str">
        <x:f>IF(COUNTA(Players!A49:N49)&gt;0,IF(Players!A49="","",Players!A49),"")</x:f>
      </x:c>
      <x:c r="B49" s="2" t="str">
        <x:f>IF(COUNTA(Players!A49:N49)&gt;0,IF(Players!B49="","",Players!B49),"")</x:f>
      </x:c>
      <x:c r="C49" s="2" t="str">
        <x:f>IF(COUNTA(Players!A49:N49)&gt;0,IF(Players!C49="","",Players!C49),"")</x:f>
      </x:c>
      <x:c r="D49" s="2" t="str">
        <x:f>IF(COUNTA(Players!A49:N49)&gt;0,IF(Players!D49="","",Players!D49),"")</x:f>
      </x:c>
      <x:c r="E49" s="17" t="str">
        <x:f>IF(COUNTA(Players!A49:N49)&gt;0,IF(Players!F49="","",Players!F49),"")</x:f>
      </x:c>
      <x:c r="F49" s="17" t="str">
        <x:f>IF(COUNTA(Players!A49:N49)&gt;0,IF(Players!G49="","",Players!G49),"")</x:f>
      </x:c>
      <x:c r="G49" s="2" t="str">
        <x:f>IF(COUNTA(Players!A49:N49)&gt;0,IF(Players!H49="","",Players!H49),"")</x:f>
      </x:c>
      <x:c r="H49" s="2" t="str">
        <x:f>IF(COUNTA(Players!A49:N49)&gt;0,COUNT(Players!I49:N49),"")</x:f>
      </x:c>
      <x:c r="I49" s="2" t="str">
        <x:f>IF(COUNTA(Players!A49:N49)&gt;0,COUNTIF(Players!$A$2:$A$61,A49),"")</x:f>
      </x:c>
      <x:c r="J49" s="2" t="str">
        <x:f>IF(NOT(COUNTA(Players!A49:N49)&gt;0),"",IF(OR(A49="",B49=""),"Missing identity",IF(I49&gt;1,"Duplicate ID",IF(OR(COUNT(Players!D49:H49)&lt;&gt;5,H49&lt;&gt;6),"Missing numeric data",IF(OR(D49&lt;15,D49&gt;50,O49&lt;0,E49&lt;O49,F49&lt;0,G49&lt;0,MIN(Players!I49:N49)&lt;1,MAX(Players!I49:N49)&gt;20,COUNTIF(Settings!$B$17:$B$20,C49)&lt;&gt;1),"Invalid input","OK")))))</x:f>
      </x:c>
      <x:c r="K49" s="19" t="str">
        <x:f>IF(AND(J49="OK",Settings!$E$24="OK",Settings!$C$14="OK"),SUMPRODUCT(Players!I49:N49,Settings!$C$22:$H$22)/20*100,"")</x:f>
      </x:c>
      <x:c r="L49" s="17" t="str">
        <x:f>IF(J49="OK",E49+F49*Settings!$C$12*Settings!$C$11,"")</x:f>
      </x:c>
      <x:c r="M49" s="2" t="str">
        <x:f>IF(J49="","",IF(J49&lt;&gt;"OK","Fix data",IF(Settings!$C$14&lt;&gt;"OK","Fix settings",IF(Settings!$E$24&lt;&gt;"OK","Fix weights",IF(C49&lt;&gt;Settings!$C$6,"Different position",IF(D49&gt;Settings!$C$9,"Age limit",IF(E49&gt;Settings!$C$7,"Fee limit",IF(F49&gt;Settings!$C$8,"Wage limit",IF(G49&lt;Settings!$C$10,"Minutes limit","Eligible")))))))))</x:f>
      </x:c>
      <x:c r="N49" s="2" t="str">
        <x:f>IF(M49="Eligible",COUNTIFS($M$2:$M$61,"Eligible",$K$2:$K$61,"&gt;"&amp;K49)+COUNTIFS($M$2:M49,"Eligible",$K$2:K49,K49),"")</x:f>
      </x:c>
      <x:c r="O49" s="17" t="str">
        <x:f>IF(COUNTA(Players!A49:N49)&gt;0,IF(Players!E49="","",Players!E49),"")</x:f>
      </x:c>
      <x:c r="P49" s="2" t="str">
        <x:f>IF(M49&lt;&gt;"Eligible","",COUNTIFS($M$2:$M$61,"Eligible",$K$2:$K$61,"&gt;"&amp;K49,$L$2:$L$61,"&lt;="&amp;L49)+COUNTIFS($M$2:$M$61,"Eligible",$K$2:$K$61,K49,$L$2:$L$61,"&lt;"&amp;L49))</x:f>
      </x:c>
      <x:c r="Q49" s="2" t="str">
        <x:f>IF(M49&lt;&gt;"Eligible","",IF(P49=0,"Frontier","Dominated"))</x:f>
      </x:c>
    </x:row>
    <x:row r="50" ht="23" customHeight="1">
      <x:c r="A50" s="2" t="str">
        <x:f>IF(COUNTA(Players!A50:N50)&gt;0,IF(Players!A50="","",Players!A50),"")</x:f>
      </x:c>
      <x:c r="B50" s="2" t="str">
        <x:f>IF(COUNTA(Players!A50:N50)&gt;0,IF(Players!B50="","",Players!B50),"")</x:f>
      </x:c>
      <x:c r="C50" s="2" t="str">
        <x:f>IF(COUNTA(Players!A50:N50)&gt;0,IF(Players!C50="","",Players!C50),"")</x:f>
      </x:c>
      <x:c r="D50" s="2" t="str">
        <x:f>IF(COUNTA(Players!A50:N50)&gt;0,IF(Players!D50="","",Players!D50),"")</x:f>
      </x:c>
      <x:c r="E50" s="17" t="str">
        <x:f>IF(COUNTA(Players!A50:N50)&gt;0,IF(Players!F50="","",Players!F50),"")</x:f>
      </x:c>
      <x:c r="F50" s="17" t="str">
        <x:f>IF(COUNTA(Players!A50:N50)&gt;0,IF(Players!G50="","",Players!G50),"")</x:f>
      </x:c>
      <x:c r="G50" s="2" t="str">
        <x:f>IF(COUNTA(Players!A50:N50)&gt;0,IF(Players!H50="","",Players!H50),"")</x:f>
      </x:c>
      <x:c r="H50" s="2" t="str">
        <x:f>IF(COUNTA(Players!A50:N50)&gt;0,COUNT(Players!I50:N50),"")</x:f>
      </x:c>
      <x:c r="I50" s="2" t="str">
        <x:f>IF(COUNTA(Players!A50:N50)&gt;0,COUNTIF(Players!$A$2:$A$61,A50),"")</x:f>
      </x:c>
      <x:c r="J50" s="2" t="str">
        <x:f>IF(NOT(COUNTA(Players!A50:N50)&gt;0),"",IF(OR(A50="",B50=""),"Missing identity",IF(I50&gt;1,"Duplicate ID",IF(OR(COUNT(Players!D50:H50)&lt;&gt;5,H50&lt;&gt;6),"Missing numeric data",IF(OR(D50&lt;15,D50&gt;50,O50&lt;0,E50&lt;O50,F50&lt;0,G50&lt;0,MIN(Players!I50:N50)&lt;1,MAX(Players!I50:N50)&gt;20,COUNTIF(Settings!$B$17:$B$20,C50)&lt;&gt;1),"Invalid input","OK")))))</x:f>
      </x:c>
      <x:c r="K50" s="19" t="str">
        <x:f>IF(AND(J50="OK",Settings!$E$24="OK",Settings!$C$14="OK"),SUMPRODUCT(Players!I50:N50,Settings!$C$22:$H$22)/20*100,"")</x:f>
      </x:c>
      <x:c r="L50" s="17" t="str">
        <x:f>IF(J50="OK",E50+F50*Settings!$C$12*Settings!$C$11,"")</x:f>
      </x:c>
      <x:c r="M50" s="2" t="str">
        <x:f>IF(J50="","",IF(J50&lt;&gt;"OK","Fix data",IF(Settings!$C$14&lt;&gt;"OK","Fix settings",IF(Settings!$E$24&lt;&gt;"OK","Fix weights",IF(C50&lt;&gt;Settings!$C$6,"Different position",IF(D50&gt;Settings!$C$9,"Age limit",IF(E50&gt;Settings!$C$7,"Fee limit",IF(F50&gt;Settings!$C$8,"Wage limit",IF(G50&lt;Settings!$C$10,"Minutes limit","Eligible")))))))))</x:f>
      </x:c>
      <x:c r="N50" s="2" t="str">
        <x:f>IF(M50="Eligible",COUNTIFS($M$2:$M$61,"Eligible",$K$2:$K$61,"&gt;"&amp;K50)+COUNTIFS($M$2:M50,"Eligible",$K$2:K50,K50),"")</x:f>
      </x:c>
      <x:c r="O50" s="17" t="str">
        <x:f>IF(COUNTA(Players!A50:N50)&gt;0,IF(Players!E50="","",Players!E50),"")</x:f>
      </x:c>
      <x:c r="P50" s="2" t="str">
        <x:f>IF(M50&lt;&gt;"Eligible","",COUNTIFS($M$2:$M$61,"Eligible",$K$2:$K$61,"&gt;"&amp;K50,$L$2:$L$61,"&lt;="&amp;L50)+COUNTIFS($M$2:$M$61,"Eligible",$K$2:$K$61,K50,$L$2:$L$61,"&lt;"&amp;L50))</x:f>
      </x:c>
      <x:c r="Q50" s="2" t="str">
        <x:f>IF(M50&lt;&gt;"Eligible","",IF(P50=0,"Frontier","Dominated"))</x:f>
      </x:c>
    </x:row>
    <x:row r="51" ht="23" customHeight="1">
      <x:c r="A51" s="2" t="str">
        <x:f>IF(COUNTA(Players!A51:N51)&gt;0,IF(Players!A51="","",Players!A51),"")</x:f>
      </x:c>
      <x:c r="B51" s="2" t="str">
        <x:f>IF(COUNTA(Players!A51:N51)&gt;0,IF(Players!B51="","",Players!B51),"")</x:f>
      </x:c>
      <x:c r="C51" s="2" t="str">
        <x:f>IF(COUNTA(Players!A51:N51)&gt;0,IF(Players!C51="","",Players!C51),"")</x:f>
      </x:c>
      <x:c r="D51" s="2" t="str">
        <x:f>IF(COUNTA(Players!A51:N51)&gt;0,IF(Players!D51="","",Players!D51),"")</x:f>
      </x:c>
      <x:c r="E51" s="17" t="str">
        <x:f>IF(COUNTA(Players!A51:N51)&gt;0,IF(Players!F51="","",Players!F51),"")</x:f>
      </x:c>
      <x:c r="F51" s="17" t="str">
        <x:f>IF(COUNTA(Players!A51:N51)&gt;0,IF(Players!G51="","",Players!G51),"")</x:f>
      </x:c>
      <x:c r="G51" s="2" t="str">
        <x:f>IF(COUNTA(Players!A51:N51)&gt;0,IF(Players!H51="","",Players!H51),"")</x:f>
      </x:c>
      <x:c r="H51" s="2" t="str">
        <x:f>IF(COUNTA(Players!A51:N51)&gt;0,COUNT(Players!I51:N51),"")</x:f>
      </x:c>
      <x:c r="I51" s="2" t="str">
        <x:f>IF(COUNTA(Players!A51:N51)&gt;0,COUNTIF(Players!$A$2:$A$61,A51),"")</x:f>
      </x:c>
      <x:c r="J51" s="2" t="str">
        <x:f>IF(NOT(COUNTA(Players!A51:N51)&gt;0),"",IF(OR(A51="",B51=""),"Missing identity",IF(I51&gt;1,"Duplicate ID",IF(OR(COUNT(Players!D51:H51)&lt;&gt;5,H51&lt;&gt;6),"Missing numeric data",IF(OR(D51&lt;15,D51&gt;50,O51&lt;0,E51&lt;O51,F51&lt;0,G51&lt;0,MIN(Players!I51:N51)&lt;1,MAX(Players!I51:N51)&gt;20,COUNTIF(Settings!$B$17:$B$20,C51)&lt;&gt;1),"Invalid input","OK")))))</x:f>
      </x:c>
      <x:c r="K51" s="19" t="str">
        <x:f>IF(AND(J51="OK",Settings!$E$24="OK",Settings!$C$14="OK"),SUMPRODUCT(Players!I51:N51,Settings!$C$22:$H$22)/20*100,"")</x:f>
      </x:c>
      <x:c r="L51" s="17" t="str">
        <x:f>IF(J51="OK",E51+F51*Settings!$C$12*Settings!$C$11,"")</x:f>
      </x:c>
      <x:c r="M51" s="2" t="str">
        <x:f>IF(J51="","",IF(J51&lt;&gt;"OK","Fix data",IF(Settings!$C$14&lt;&gt;"OK","Fix settings",IF(Settings!$E$24&lt;&gt;"OK","Fix weights",IF(C51&lt;&gt;Settings!$C$6,"Different position",IF(D51&gt;Settings!$C$9,"Age limit",IF(E51&gt;Settings!$C$7,"Fee limit",IF(F51&gt;Settings!$C$8,"Wage limit",IF(G51&lt;Settings!$C$10,"Minutes limit","Eligible")))))))))</x:f>
      </x:c>
      <x:c r="N51" s="2" t="str">
        <x:f>IF(M51="Eligible",COUNTIFS($M$2:$M$61,"Eligible",$K$2:$K$61,"&gt;"&amp;K51)+COUNTIFS($M$2:M51,"Eligible",$K$2:K51,K51),"")</x:f>
      </x:c>
      <x:c r="O51" s="17" t="str">
        <x:f>IF(COUNTA(Players!A51:N51)&gt;0,IF(Players!E51="","",Players!E51),"")</x:f>
      </x:c>
      <x:c r="P51" s="2" t="str">
        <x:f>IF(M51&lt;&gt;"Eligible","",COUNTIFS($M$2:$M$61,"Eligible",$K$2:$K$61,"&gt;"&amp;K51,$L$2:$L$61,"&lt;="&amp;L51)+COUNTIFS($M$2:$M$61,"Eligible",$K$2:$K$61,K51,$L$2:$L$61,"&lt;"&amp;L51))</x:f>
      </x:c>
      <x:c r="Q51" s="2" t="str">
        <x:f>IF(M51&lt;&gt;"Eligible","",IF(P51=0,"Frontier","Dominated"))</x:f>
      </x:c>
    </x:row>
    <x:row r="52" ht="23" customHeight="1">
      <x:c r="A52" s="2" t="str">
        <x:f>IF(COUNTA(Players!A52:N52)&gt;0,IF(Players!A52="","",Players!A52),"")</x:f>
      </x:c>
      <x:c r="B52" s="2" t="str">
        <x:f>IF(COUNTA(Players!A52:N52)&gt;0,IF(Players!B52="","",Players!B52),"")</x:f>
      </x:c>
      <x:c r="C52" s="2" t="str">
        <x:f>IF(COUNTA(Players!A52:N52)&gt;0,IF(Players!C52="","",Players!C52),"")</x:f>
      </x:c>
      <x:c r="D52" s="2" t="str">
        <x:f>IF(COUNTA(Players!A52:N52)&gt;0,IF(Players!D52="","",Players!D52),"")</x:f>
      </x:c>
      <x:c r="E52" s="17" t="str">
        <x:f>IF(COUNTA(Players!A52:N52)&gt;0,IF(Players!F52="","",Players!F52),"")</x:f>
      </x:c>
      <x:c r="F52" s="17" t="str">
        <x:f>IF(COUNTA(Players!A52:N52)&gt;0,IF(Players!G52="","",Players!G52),"")</x:f>
      </x:c>
      <x:c r="G52" s="2" t="str">
        <x:f>IF(COUNTA(Players!A52:N52)&gt;0,IF(Players!H52="","",Players!H52),"")</x:f>
      </x:c>
      <x:c r="H52" s="2" t="str">
        <x:f>IF(COUNTA(Players!A52:N52)&gt;0,COUNT(Players!I52:N52),"")</x:f>
      </x:c>
      <x:c r="I52" s="2" t="str">
        <x:f>IF(COUNTA(Players!A52:N52)&gt;0,COUNTIF(Players!$A$2:$A$61,A52),"")</x:f>
      </x:c>
      <x:c r="J52" s="2" t="str">
        <x:f>IF(NOT(COUNTA(Players!A52:N52)&gt;0),"",IF(OR(A52="",B52=""),"Missing identity",IF(I52&gt;1,"Duplicate ID",IF(OR(COUNT(Players!D52:H52)&lt;&gt;5,H52&lt;&gt;6),"Missing numeric data",IF(OR(D52&lt;15,D52&gt;50,O52&lt;0,E52&lt;O52,F52&lt;0,G52&lt;0,MIN(Players!I52:N52)&lt;1,MAX(Players!I52:N52)&gt;20,COUNTIF(Settings!$B$17:$B$20,C52)&lt;&gt;1),"Invalid input","OK")))))</x:f>
      </x:c>
      <x:c r="K52" s="19" t="str">
        <x:f>IF(AND(J52="OK",Settings!$E$24="OK",Settings!$C$14="OK"),SUMPRODUCT(Players!I52:N52,Settings!$C$22:$H$22)/20*100,"")</x:f>
      </x:c>
      <x:c r="L52" s="17" t="str">
        <x:f>IF(J52="OK",E52+F52*Settings!$C$12*Settings!$C$11,"")</x:f>
      </x:c>
      <x:c r="M52" s="2" t="str">
        <x:f>IF(J52="","",IF(J52&lt;&gt;"OK","Fix data",IF(Settings!$C$14&lt;&gt;"OK","Fix settings",IF(Settings!$E$24&lt;&gt;"OK","Fix weights",IF(C52&lt;&gt;Settings!$C$6,"Different position",IF(D52&gt;Settings!$C$9,"Age limit",IF(E52&gt;Settings!$C$7,"Fee limit",IF(F52&gt;Settings!$C$8,"Wage limit",IF(G52&lt;Settings!$C$10,"Minutes limit","Eligible")))))))))</x:f>
      </x:c>
      <x:c r="N52" s="2" t="str">
        <x:f>IF(M52="Eligible",COUNTIFS($M$2:$M$61,"Eligible",$K$2:$K$61,"&gt;"&amp;K52)+COUNTIFS($M$2:M52,"Eligible",$K$2:K52,K52),"")</x:f>
      </x:c>
      <x:c r="O52" s="17" t="str">
        <x:f>IF(COUNTA(Players!A52:N52)&gt;0,IF(Players!E52="","",Players!E52),"")</x:f>
      </x:c>
      <x:c r="P52" s="2" t="str">
        <x:f>IF(M52&lt;&gt;"Eligible","",COUNTIFS($M$2:$M$61,"Eligible",$K$2:$K$61,"&gt;"&amp;K52,$L$2:$L$61,"&lt;="&amp;L52)+COUNTIFS($M$2:$M$61,"Eligible",$K$2:$K$61,K52,$L$2:$L$61,"&lt;"&amp;L52))</x:f>
      </x:c>
      <x:c r="Q52" s="2" t="str">
        <x:f>IF(M52&lt;&gt;"Eligible","",IF(P52=0,"Frontier","Dominated"))</x:f>
      </x:c>
    </x:row>
    <x:row r="53" ht="23" customHeight="1">
      <x:c r="A53" s="2" t="str">
        <x:f>IF(COUNTA(Players!A53:N53)&gt;0,IF(Players!A53="","",Players!A53),"")</x:f>
      </x:c>
      <x:c r="B53" s="2" t="str">
        <x:f>IF(COUNTA(Players!A53:N53)&gt;0,IF(Players!B53="","",Players!B53),"")</x:f>
      </x:c>
      <x:c r="C53" s="2" t="str">
        <x:f>IF(COUNTA(Players!A53:N53)&gt;0,IF(Players!C53="","",Players!C53),"")</x:f>
      </x:c>
      <x:c r="D53" s="2" t="str">
        <x:f>IF(COUNTA(Players!A53:N53)&gt;0,IF(Players!D53="","",Players!D53),"")</x:f>
      </x:c>
      <x:c r="E53" s="17" t="str">
        <x:f>IF(COUNTA(Players!A53:N53)&gt;0,IF(Players!F53="","",Players!F53),"")</x:f>
      </x:c>
      <x:c r="F53" s="17" t="str">
        <x:f>IF(COUNTA(Players!A53:N53)&gt;0,IF(Players!G53="","",Players!G53),"")</x:f>
      </x:c>
      <x:c r="G53" s="2" t="str">
        <x:f>IF(COUNTA(Players!A53:N53)&gt;0,IF(Players!H53="","",Players!H53),"")</x:f>
      </x:c>
      <x:c r="H53" s="2" t="str">
        <x:f>IF(COUNTA(Players!A53:N53)&gt;0,COUNT(Players!I53:N53),"")</x:f>
      </x:c>
      <x:c r="I53" s="2" t="str">
        <x:f>IF(COUNTA(Players!A53:N53)&gt;0,COUNTIF(Players!$A$2:$A$61,A53),"")</x:f>
      </x:c>
      <x:c r="J53" s="2" t="str">
        <x:f>IF(NOT(COUNTA(Players!A53:N53)&gt;0),"",IF(OR(A53="",B53=""),"Missing identity",IF(I53&gt;1,"Duplicate ID",IF(OR(COUNT(Players!D53:H53)&lt;&gt;5,H53&lt;&gt;6),"Missing numeric data",IF(OR(D53&lt;15,D53&gt;50,O53&lt;0,E53&lt;O53,F53&lt;0,G53&lt;0,MIN(Players!I53:N53)&lt;1,MAX(Players!I53:N53)&gt;20,COUNTIF(Settings!$B$17:$B$20,C53)&lt;&gt;1),"Invalid input","OK")))))</x:f>
      </x:c>
      <x:c r="K53" s="19" t="str">
        <x:f>IF(AND(J53="OK",Settings!$E$24="OK",Settings!$C$14="OK"),SUMPRODUCT(Players!I53:N53,Settings!$C$22:$H$22)/20*100,"")</x:f>
      </x:c>
      <x:c r="L53" s="17" t="str">
        <x:f>IF(J53="OK",E53+F53*Settings!$C$12*Settings!$C$11,"")</x:f>
      </x:c>
      <x:c r="M53" s="2" t="str">
        <x:f>IF(J53="","",IF(J53&lt;&gt;"OK","Fix data",IF(Settings!$C$14&lt;&gt;"OK","Fix settings",IF(Settings!$E$24&lt;&gt;"OK","Fix weights",IF(C53&lt;&gt;Settings!$C$6,"Different position",IF(D53&gt;Settings!$C$9,"Age limit",IF(E53&gt;Settings!$C$7,"Fee limit",IF(F53&gt;Settings!$C$8,"Wage limit",IF(G53&lt;Settings!$C$10,"Minutes limit","Eligible")))))))))</x:f>
      </x:c>
      <x:c r="N53" s="2" t="str">
        <x:f>IF(M53="Eligible",COUNTIFS($M$2:$M$61,"Eligible",$K$2:$K$61,"&gt;"&amp;K53)+COUNTIFS($M$2:M53,"Eligible",$K$2:K53,K53),"")</x:f>
      </x:c>
      <x:c r="O53" s="17" t="str">
        <x:f>IF(COUNTA(Players!A53:N53)&gt;0,IF(Players!E53="","",Players!E53),"")</x:f>
      </x:c>
      <x:c r="P53" s="2" t="str">
        <x:f>IF(M53&lt;&gt;"Eligible","",COUNTIFS($M$2:$M$61,"Eligible",$K$2:$K$61,"&gt;"&amp;K53,$L$2:$L$61,"&lt;="&amp;L53)+COUNTIFS($M$2:$M$61,"Eligible",$K$2:$K$61,K53,$L$2:$L$61,"&lt;"&amp;L53))</x:f>
      </x:c>
      <x:c r="Q53" s="2" t="str">
        <x:f>IF(M53&lt;&gt;"Eligible","",IF(P53=0,"Frontier","Dominated"))</x:f>
      </x:c>
    </x:row>
    <x:row r="54" ht="23" customHeight="1">
      <x:c r="A54" s="2" t="str">
        <x:f>IF(COUNTA(Players!A54:N54)&gt;0,IF(Players!A54="","",Players!A54),"")</x:f>
      </x:c>
      <x:c r="B54" s="2" t="str">
        <x:f>IF(COUNTA(Players!A54:N54)&gt;0,IF(Players!B54="","",Players!B54),"")</x:f>
      </x:c>
      <x:c r="C54" s="2" t="str">
        <x:f>IF(COUNTA(Players!A54:N54)&gt;0,IF(Players!C54="","",Players!C54),"")</x:f>
      </x:c>
      <x:c r="D54" s="2" t="str">
        <x:f>IF(COUNTA(Players!A54:N54)&gt;0,IF(Players!D54="","",Players!D54),"")</x:f>
      </x:c>
      <x:c r="E54" s="17" t="str">
        <x:f>IF(COUNTA(Players!A54:N54)&gt;0,IF(Players!F54="","",Players!F54),"")</x:f>
      </x:c>
      <x:c r="F54" s="17" t="str">
        <x:f>IF(COUNTA(Players!A54:N54)&gt;0,IF(Players!G54="","",Players!G54),"")</x:f>
      </x:c>
      <x:c r="G54" s="2" t="str">
        <x:f>IF(COUNTA(Players!A54:N54)&gt;0,IF(Players!H54="","",Players!H54),"")</x:f>
      </x:c>
      <x:c r="H54" s="2" t="str">
        <x:f>IF(COUNTA(Players!A54:N54)&gt;0,COUNT(Players!I54:N54),"")</x:f>
      </x:c>
      <x:c r="I54" s="2" t="str">
        <x:f>IF(COUNTA(Players!A54:N54)&gt;0,COUNTIF(Players!$A$2:$A$61,A54),"")</x:f>
      </x:c>
      <x:c r="J54" s="2" t="str">
        <x:f>IF(NOT(COUNTA(Players!A54:N54)&gt;0),"",IF(OR(A54="",B54=""),"Missing identity",IF(I54&gt;1,"Duplicate ID",IF(OR(COUNT(Players!D54:H54)&lt;&gt;5,H54&lt;&gt;6),"Missing numeric data",IF(OR(D54&lt;15,D54&gt;50,O54&lt;0,E54&lt;O54,F54&lt;0,G54&lt;0,MIN(Players!I54:N54)&lt;1,MAX(Players!I54:N54)&gt;20,COUNTIF(Settings!$B$17:$B$20,C54)&lt;&gt;1),"Invalid input","OK")))))</x:f>
      </x:c>
      <x:c r="K54" s="19" t="str">
        <x:f>IF(AND(J54="OK",Settings!$E$24="OK",Settings!$C$14="OK"),SUMPRODUCT(Players!I54:N54,Settings!$C$22:$H$22)/20*100,"")</x:f>
      </x:c>
      <x:c r="L54" s="17" t="str">
        <x:f>IF(J54="OK",E54+F54*Settings!$C$12*Settings!$C$11,"")</x:f>
      </x:c>
      <x:c r="M54" s="2" t="str">
        <x:f>IF(J54="","",IF(J54&lt;&gt;"OK","Fix data",IF(Settings!$C$14&lt;&gt;"OK","Fix settings",IF(Settings!$E$24&lt;&gt;"OK","Fix weights",IF(C54&lt;&gt;Settings!$C$6,"Different position",IF(D54&gt;Settings!$C$9,"Age limit",IF(E54&gt;Settings!$C$7,"Fee limit",IF(F54&gt;Settings!$C$8,"Wage limit",IF(G54&lt;Settings!$C$10,"Minutes limit","Eligible")))))))))</x:f>
      </x:c>
      <x:c r="N54" s="2" t="str">
        <x:f>IF(M54="Eligible",COUNTIFS($M$2:$M$61,"Eligible",$K$2:$K$61,"&gt;"&amp;K54)+COUNTIFS($M$2:M54,"Eligible",$K$2:K54,K54),"")</x:f>
      </x:c>
      <x:c r="O54" s="17" t="str">
        <x:f>IF(COUNTA(Players!A54:N54)&gt;0,IF(Players!E54="","",Players!E54),"")</x:f>
      </x:c>
      <x:c r="P54" s="2" t="str">
        <x:f>IF(M54&lt;&gt;"Eligible","",COUNTIFS($M$2:$M$61,"Eligible",$K$2:$K$61,"&gt;"&amp;K54,$L$2:$L$61,"&lt;="&amp;L54)+COUNTIFS($M$2:$M$61,"Eligible",$K$2:$K$61,K54,$L$2:$L$61,"&lt;"&amp;L54))</x:f>
      </x:c>
      <x:c r="Q54" s="2" t="str">
        <x:f>IF(M54&lt;&gt;"Eligible","",IF(P54=0,"Frontier","Dominated"))</x:f>
      </x:c>
    </x:row>
    <x:row r="55" ht="23" customHeight="1">
      <x:c r="A55" s="2" t="str">
        <x:f>IF(COUNTA(Players!A55:N55)&gt;0,IF(Players!A55="","",Players!A55),"")</x:f>
      </x:c>
      <x:c r="B55" s="2" t="str">
        <x:f>IF(COUNTA(Players!A55:N55)&gt;0,IF(Players!B55="","",Players!B55),"")</x:f>
      </x:c>
      <x:c r="C55" s="2" t="str">
        <x:f>IF(COUNTA(Players!A55:N55)&gt;0,IF(Players!C55="","",Players!C55),"")</x:f>
      </x:c>
      <x:c r="D55" s="2" t="str">
        <x:f>IF(COUNTA(Players!A55:N55)&gt;0,IF(Players!D55="","",Players!D55),"")</x:f>
      </x:c>
      <x:c r="E55" s="17" t="str">
        <x:f>IF(COUNTA(Players!A55:N55)&gt;0,IF(Players!F55="","",Players!F55),"")</x:f>
      </x:c>
      <x:c r="F55" s="17" t="str">
        <x:f>IF(COUNTA(Players!A55:N55)&gt;0,IF(Players!G55="","",Players!G55),"")</x:f>
      </x:c>
      <x:c r="G55" s="2" t="str">
        <x:f>IF(COUNTA(Players!A55:N55)&gt;0,IF(Players!H55="","",Players!H55),"")</x:f>
      </x:c>
      <x:c r="H55" s="2" t="str">
        <x:f>IF(COUNTA(Players!A55:N55)&gt;0,COUNT(Players!I55:N55),"")</x:f>
      </x:c>
      <x:c r="I55" s="2" t="str">
        <x:f>IF(COUNTA(Players!A55:N55)&gt;0,COUNTIF(Players!$A$2:$A$61,A55),"")</x:f>
      </x:c>
      <x:c r="J55" s="2" t="str">
        <x:f>IF(NOT(COUNTA(Players!A55:N55)&gt;0),"",IF(OR(A55="",B55=""),"Missing identity",IF(I55&gt;1,"Duplicate ID",IF(OR(COUNT(Players!D55:H55)&lt;&gt;5,H55&lt;&gt;6),"Missing numeric data",IF(OR(D55&lt;15,D55&gt;50,O55&lt;0,E55&lt;O55,F55&lt;0,G55&lt;0,MIN(Players!I55:N55)&lt;1,MAX(Players!I55:N55)&gt;20,COUNTIF(Settings!$B$17:$B$20,C55)&lt;&gt;1),"Invalid input","OK")))))</x:f>
      </x:c>
      <x:c r="K55" s="19" t="str">
        <x:f>IF(AND(J55="OK",Settings!$E$24="OK",Settings!$C$14="OK"),SUMPRODUCT(Players!I55:N55,Settings!$C$22:$H$22)/20*100,"")</x:f>
      </x:c>
      <x:c r="L55" s="17" t="str">
        <x:f>IF(J55="OK",E55+F55*Settings!$C$12*Settings!$C$11,"")</x:f>
      </x:c>
      <x:c r="M55" s="2" t="str">
        <x:f>IF(J55="","",IF(J55&lt;&gt;"OK","Fix data",IF(Settings!$C$14&lt;&gt;"OK","Fix settings",IF(Settings!$E$24&lt;&gt;"OK","Fix weights",IF(C55&lt;&gt;Settings!$C$6,"Different position",IF(D55&gt;Settings!$C$9,"Age limit",IF(E55&gt;Settings!$C$7,"Fee limit",IF(F55&gt;Settings!$C$8,"Wage limit",IF(G55&lt;Settings!$C$10,"Minutes limit","Eligible")))))))))</x:f>
      </x:c>
      <x:c r="N55" s="2" t="str">
        <x:f>IF(M55="Eligible",COUNTIFS($M$2:$M$61,"Eligible",$K$2:$K$61,"&gt;"&amp;K55)+COUNTIFS($M$2:M55,"Eligible",$K$2:K55,K55),"")</x:f>
      </x:c>
      <x:c r="O55" s="17" t="str">
        <x:f>IF(COUNTA(Players!A55:N55)&gt;0,IF(Players!E55="","",Players!E55),"")</x:f>
      </x:c>
      <x:c r="P55" s="2" t="str">
        <x:f>IF(M55&lt;&gt;"Eligible","",COUNTIFS($M$2:$M$61,"Eligible",$K$2:$K$61,"&gt;"&amp;K55,$L$2:$L$61,"&lt;="&amp;L55)+COUNTIFS($M$2:$M$61,"Eligible",$K$2:$K$61,K55,$L$2:$L$61,"&lt;"&amp;L55))</x:f>
      </x:c>
      <x:c r="Q55" s="2" t="str">
        <x:f>IF(M55&lt;&gt;"Eligible","",IF(P55=0,"Frontier","Dominated"))</x:f>
      </x:c>
    </x:row>
    <x:row r="56" ht="23" customHeight="1">
      <x:c r="A56" s="2" t="str">
        <x:f>IF(COUNTA(Players!A56:N56)&gt;0,IF(Players!A56="","",Players!A56),"")</x:f>
      </x:c>
      <x:c r="B56" s="2" t="str">
        <x:f>IF(COUNTA(Players!A56:N56)&gt;0,IF(Players!B56="","",Players!B56),"")</x:f>
      </x:c>
      <x:c r="C56" s="2" t="str">
        <x:f>IF(COUNTA(Players!A56:N56)&gt;0,IF(Players!C56="","",Players!C56),"")</x:f>
      </x:c>
      <x:c r="D56" s="2" t="str">
        <x:f>IF(COUNTA(Players!A56:N56)&gt;0,IF(Players!D56="","",Players!D56),"")</x:f>
      </x:c>
      <x:c r="E56" s="17" t="str">
        <x:f>IF(COUNTA(Players!A56:N56)&gt;0,IF(Players!F56="","",Players!F56),"")</x:f>
      </x:c>
      <x:c r="F56" s="17" t="str">
        <x:f>IF(COUNTA(Players!A56:N56)&gt;0,IF(Players!G56="","",Players!G56),"")</x:f>
      </x:c>
      <x:c r="G56" s="2" t="str">
        <x:f>IF(COUNTA(Players!A56:N56)&gt;0,IF(Players!H56="","",Players!H56),"")</x:f>
      </x:c>
      <x:c r="H56" s="2" t="str">
        <x:f>IF(COUNTA(Players!A56:N56)&gt;0,COUNT(Players!I56:N56),"")</x:f>
      </x:c>
      <x:c r="I56" s="2" t="str">
        <x:f>IF(COUNTA(Players!A56:N56)&gt;0,COUNTIF(Players!$A$2:$A$61,A56),"")</x:f>
      </x:c>
      <x:c r="J56" s="2" t="str">
        <x:f>IF(NOT(COUNTA(Players!A56:N56)&gt;0),"",IF(OR(A56="",B56=""),"Missing identity",IF(I56&gt;1,"Duplicate ID",IF(OR(COUNT(Players!D56:H56)&lt;&gt;5,H56&lt;&gt;6),"Missing numeric data",IF(OR(D56&lt;15,D56&gt;50,O56&lt;0,E56&lt;O56,F56&lt;0,G56&lt;0,MIN(Players!I56:N56)&lt;1,MAX(Players!I56:N56)&gt;20,COUNTIF(Settings!$B$17:$B$20,C56)&lt;&gt;1),"Invalid input","OK")))))</x:f>
      </x:c>
      <x:c r="K56" s="19" t="str">
        <x:f>IF(AND(J56="OK",Settings!$E$24="OK",Settings!$C$14="OK"),SUMPRODUCT(Players!I56:N56,Settings!$C$22:$H$22)/20*100,"")</x:f>
      </x:c>
      <x:c r="L56" s="17" t="str">
        <x:f>IF(J56="OK",E56+F56*Settings!$C$12*Settings!$C$11,"")</x:f>
      </x:c>
      <x:c r="M56" s="2" t="str">
        <x:f>IF(J56="","",IF(J56&lt;&gt;"OK","Fix data",IF(Settings!$C$14&lt;&gt;"OK","Fix settings",IF(Settings!$E$24&lt;&gt;"OK","Fix weights",IF(C56&lt;&gt;Settings!$C$6,"Different position",IF(D56&gt;Settings!$C$9,"Age limit",IF(E56&gt;Settings!$C$7,"Fee limit",IF(F56&gt;Settings!$C$8,"Wage limit",IF(G56&lt;Settings!$C$10,"Minutes limit","Eligible")))))))))</x:f>
      </x:c>
      <x:c r="N56" s="2" t="str">
        <x:f>IF(M56="Eligible",COUNTIFS($M$2:$M$61,"Eligible",$K$2:$K$61,"&gt;"&amp;K56)+COUNTIFS($M$2:M56,"Eligible",$K$2:K56,K56),"")</x:f>
      </x:c>
      <x:c r="O56" s="17" t="str">
        <x:f>IF(COUNTA(Players!A56:N56)&gt;0,IF(Players!E56="","",Players!E56),"")</x:f>
      </x:c>
      <x:c r="P56" s="2" t="str">
        <x:f>IF(M56&lt;&gt;"Eligible","",COUNTIFS($M$2:$M$61,"Eligible",$K$2:$K$61,"&gt;"&amp;K56,$L$2:$L$61,"&lt;="&amp;L56)+COUNTIFS($M$2:$M$61,"Eligible",$K$2:$K$61,K56,$L$2:$L$61,"&lt;"&amp;L56))</x:f>
      </x:c>
      <x:c r="Q56" s="2" t="str">
        <x:f>IF(M56&lt;&gt;"Eligible","",IF(P56=0,"Frontier","Dominated"))</x:f>
      </x:c>
    </x:row>
    <x:row r="57" ht="23" customHeight="1">
      <x:c r="A57" s="2" t="str">
        <x:f>IF(COUNTA(Players!A57:N57)&gt;0,IF(Players!A57="","",Players!A57),"")</x:f>
      </x:c>
      <x:c r="B57" s="2" t="str">
        <x:f>IF(COUNTA(Players!A57:N57)&gt;0,IF(Players!B57="","",Players!B57),"")</x:f>
      </x:c>
      <x:c r="C57" s="2" t="str">
        <x:f>IF(COUNTA(Players!A57:N57)&gt;0,IF(Players!C57="","",Players!C57),"")</x:f>
      </x:c>
      <x:c r="D57" s="2" t="str">
        <x:f>IF(COUNTA(Players!A57:N57)&gt;0,IF(Players!D57="","",Players!D57),"")</x:f>
      </x:c>
      <x:c r="E57" s="17" t="str">
        <x:f>IF(COUNTA(Players!A57:N57)&gt;0,IF(Players!F57="","",Players!F57),"")</x:f>
      </x:c>
      <x:c r="F57" s="17" t="str">
        <x:f>IF(COUNTA(Players!A57:N57)&gt;0,IF(Players!G57="","",Players!G57),"")</x:f>
      </x:c>
      <x:c r="G57" s="2" t="str">
        <x:f>IF(COUNTA(Players!A57:N57)&gt;0,IF(Players!H57="","",Players!H57),"")</x:f>
      </x:c>
      <x:c r="H57" s="2" t="str">
        <x:f>IF(COUNTA(Players!A57:N57)&gt;0,COUNT(Players!I57:N57),"")</x:f>
      </x:c>
      <x:c r="I57" s="2" t="str">
        <x:f>IF(COUNTA(Players!A57:N57)&gt;0,COUNTIF(Players!$A$2:$A$61,A57),"")</x:f>
      </x:c>
      <x:c r="J57" s="2" t="str">
        <x:f>IF(NOT(COUNTA(Players!A57:N57)&gt;0),"",IF(OR(A57="",B57=""),"Missing identity",IF(I57&gt;1,"Duplicate ID",IF(OR(COUNT(Players!D57:H57)&lt;&gt;5,H57&lt;&gt;6),"Missing numeric data",IF(OR(D57&lt;15,D57&gt;50,O57&lt;0,E57&lt;O57,F57&lt;0,G57&lt;0,MIN(Players!I57:N57)&lt;1,MAX(Players!I57:N57)&gt;20,COUNTIF(Settings!$B$17:$B$20,C57)&lt;&gt;1),"Invalid input","OK")))))</x:f>
      </x:c>
      <x:c r="K57" s="19" t="str">
        <x:f>IF(AND(J57="OK",Settings!$E$24="OK",Settings!$C$14="OK"),SUMPRODUCT(Players!I57:N57,Settings!$C$22:$H$22)/20*100,"")</x:f>
      </x:c>
      <x:c r="L57" s="17" t="str">
        <x:f>IF(J57="OK",E57+F57*Settings!$C$12*Settings!$C$11,"")</x:f>
      </x:c>
      <x:c r="M57" s="2" t="str">
        <x:f>IF(J57="","",IF(J57&lt;&gt;"OK","Fix data",IF(Settings!$C$14&lt;&gt;"OK","Fix settings",IF(Settings!$E$24&lt;&gt;"OK","Fix weights",IF(C57&lt;&gt;Settings!$C$6,"Different position",IF(D57&gt;Settings!$C$9,"Age limit",IF(E57&gt;Settings!$C$7,"Fee limit",IF(F57&gt;Settings!$C$8,"Wage limit",IF(G57&lt;Settings!$C$10,"Minutes limit","Eligible")))))))))</x:f>
      </x:c>
      <x:c r="N57" s="2" t="str">
        <x:f>IF(M57="Eligible",COUNTIFS($M$2:$M$61,"Eligible",$K$2:$K$61,"&gt;"&amp;K57)+COUNTIFS($M$2:M57,"Eligible",$K$2:K57,K57),"")</x:f>
      </x:c>
      <x:c r="O57" s="17" t="str">
        <x:f>IF(COUNTA(Players!A57:N57)&gt;0,IF(Players!E57="","",Players!E57),"")</x:f>
      </x:c>
      <x:c r="P57" s="2" t="str">
        <x:f>IF(M57&lt;&gt;"Eligible","",COUNTIFS($M$2:$M$61,"Eligible",$K$2:$K$61,"&gt;"&amp;K57,$L$2:$L$61,"&lt;="&amp;L57)+COUNTIFS($M$2:$M$61,"Eligible",$K$2:$K$61,K57,$L$2:$L$61,"&lt;"&amp;L57))</x:f>
      </x:c>
      <x:c r="Q57" s="2" t="str">
        <x:f>IF(M57&lt;&gt;"Eligible","",IF(P57=0,"Frontier","Dominated"))</x:f>
      </x:c>
    </x:row>
    <x:row r="58" ht="23" customHeight="1">
      <x:c r="A58" s="2" t="str">
        <x:f>IF(COUNTA(Players!A58:N58)&gt;0,IF(Players!A58="","",Players!A58),"")</x:f>
      </x:c>
      <x:c r="B58" s="2" t="str">
        <x:f>IF(COUNTA(Players!A58:N58)&gt;0,IF(Players!B58="","",Players!B58),"")</x:f>
      </x:c>
      <x:c r="C58" s="2" t="str">
        <x:f>IF(COUNTA(Players!A58:N58)&gt;0,IF(Players!C58="","",Players!C58),"")</x:f>
      </x:c>
      <x:c r="D58" s="2" t="str">
        <x:f>IF(COUNTA(Players!A58:N58)&gt;0,IF(Players!D58="","",Players!D58),"")</x:f>
      </x:c>
      <x:c r="E58" s="17" t="str">
        <x:f>IF(COUNTA(Players!A58:N58)&gt;0,IF(Players!F58="","",Players!F58),"")</x:f>
      </x:c>
      <x:c r="F58" s="17" t="str">
        <x:f>IF(COUNTA(Players!A58:N58)&gt;0,IF(Players!G58="","",Players!G58),"")</x:f>
      </x:c>
      <x:c r="G58" s="2" t="str">
        <x:f>IF(COUNTA(Players!A58:N58)&gt;0,IF(Players!H58="","",Players!H58),"")</x:f>
      </x:c>
      <x:c r="H58" s="2" t="str">
        <x:f>IF(COUNTA(Players!A58:N58)&gt;0,COUNT(Players!I58:N58),"")</x:f>
      </x:c>
      <x:c r="I58" s="2" t="str">
        <x:f>IF(COUNTA(Players!A58:N58)&gt;0,COUNTIF(Players!$A$2:$A$61,A58),"")</x:f>
      </x:c>
      <x:c r="J58" s="2" t="str">
        <x:f>IF(NOT(COUNTA(Players!A58:N58)&gt;0),"",IF(OR(A58="",B58=""),"Missing identity",IF(I58&gt;1,"Duplicate ID",IF(OR(COUNT(Players!D58:H58)&lt;&gt;5,H58&lt;&gt;6),"Missing numeric data",IF(OR(D58&lt;15,D58&gt;50,O58&lt;0,E58&lt;O58,F58&lt;0,G58&lt;0,MIN(Players!I58:N58)&lt;1,MAX(Players!I58:N58)&gt;20,COUNTIF(Settings!$B$17:$B$20,C58)&lt;&gt;1),"Invalid input","OK")))))</x:f>
      </x:c>
      <x:c r="K58" s="19" t="str">
        <x:f>IF(AND(J58="OK",Settings!$E$24="OK",Settings!$C$14="OK"),SUMPRODUCT(Players!I58:N58,Settings!$C$22:$H$22)/20*100,"")</x:f>
      </x:c>
      <x:c r="L58" s="17" t="str">
        <x:f>IF(J58="OK",E58+F58*Settings!$C$12*Settings!$C$11,"")</x:f>
      </x:c>
      <x:c r="M58" s="2" t="str">
        <x:f>IF(J58="","",IF(J58&lt;&gt;"OK","Fix data",IF(Settings!$C$14&lt;&gt;"OK","Fix settings",IF(Settings!$E$24&lt;&gt;"OK","Fix weights",IF(C58&lt;&gt;Settings!$C$6,"Different position",IF(D58&gt;Settings!$C$9,"Age limit",IF(E58&gt;Settings!$C$7,"Fee limit",IF(F58&gt;Settings!$C$8,"Wage limit",IF(G58&lt;Settings!$C$10,"Minutes limit","Eligible")))))))))</x:f>
      </x:c>
      <x:c r="N58" s="2" t="str">
        <x:f>IF(M58="Eligible",COUNTIFS($M$2:$M$61,"Eligible",$K$2:$K$61,"&gt;"&amp;K58)+COUNTIFS($M$2:M58,"Eligible",$K$2:K58,K58),"")</x:f>
      </x:c>
      <x:c r="O58" s="17" t="str">
        <x:f>IF(COUNTA(Players!A58:N58)&gt;0,IF(Players!E58="","",Players!E58),"")</x:f>
      </x:c>
      <x:c r="P58" s="2" t="str">
        <x:f>IF(M58&lt;&gt;"Eligible","",COUNTIFS($M$2:$M$61,"Eligible",$K$2:$K$61,"&gt;"&amp;K58,$L$2:$L$61,"&lt;="&amp;L58)+COUNTIFS($M$2:$M$61,"Eligible",$K$2:$K$61,K58,$L$2:$L$61,"&lt;"&amp;L58))</x:f>
      </x:c>
      <x:c r="Q58" s="2" t="str">
        <x:f>IF(M58&lt;&gt;"Eligible","",IF(P58=0,"Frontier","Dominated"))</x:f>
      </x:c>
    </x:row>
    <x:row r="59" ht="23" customHeight="1">
      <x:c r="A59" s="2" t="str">
        <x:f>IF(COUNTA(Players!A59:N59)&gt;0,IF(Players!A59="","",Players!A59),"")</x:f>
      </x:c>
      <x:c r="B59" s="2" t="str">
        <x:f>IF(COUNTA(Players!A59:N59)&gt;0,IF(Players!B59="","",Players!B59),"")</x:f>
      </x:c>
      <x:c r="C59" s="2" t="str">
        <x:f>IF(COUNTA(Players!A59:N59)&gt;0,IF(Players!C59="","",Players!C59),"")</x:f>
      </x:c>
      <x:c r="D59" s="2" t="str">
        <x:f>IF(COUNTA(Players!A59:N59)&gt;0,IF(Players!D59="","",Players!D59),"")</x:f>
      </x:c>
      <x:c r="E59" s="17" t="str">
        <x:f>IF(COUNTA(Players!A59:N59)&gt;0,IF(Players!F59="","",Players!F59),"")</x:f>
      </x:c>
      <x:c r="F59" s="17" t="str">
        <x:f>IF(COUNTA(Players!A59:N59)&gt;0,IF(Players!G59="","",Players!G59),"")</x:f>
      </x:c>
      <x:c r="G59" s="2" t="str">
        <x:f>IF(COUNTA(Players!A59:N59)&gt;0,IF(Players!H59="","",Players!H59),"")</x:f>
      </x:c>
      <x:c r="H59" s="2" t="str">
        <x:f>IF(COUNTA(Players!A59:N59)&gt;0,COUNT(Players!I59:N59),"")</x:f>
      </x:c>
      <x:c r="I59" s="2" t="str">
        <x:f>IF(COUNTA(Players!A59:N59)&gt;0,COUNTIF(Players!$A$2:$A$61,A59),"")</x:f>
      </x:c>
      <x:c r="J59" s="2" t="str">
        <x:f>IF(NOT(COUNTA(Players!A59:N59)&gt;0),"",IF(OR(A59="",B59=""),"Missing identity",IF(I59&gt;1,"Duplicate ID",IF(OR(COUNT(Players!D59:H59)&lt;&gt;5,H59&lt;&gt;6),"Missing numeric data",IF(OR(D59&lt;15,D59&gt;50,O59&lt;0,E59&lt;O59,F59&lt;0,G59&lt;0,MIN(Players!I59:N59)&lt;1,MAX(Players!I59:N59)&gt;20,COUNTIF(Settings!$B$17:$B$20,C59)&lt;&gt;1),"Invalid input","OK")))))</x:f>
      </x:c>
      <x:c r="K59" s="19" t="str">
        <x:f>IF(AND(J59="OK",Settings!$E$24="OK",Settings!$C$14="OK"),SUMPRODUCT(Players!I59:N59,Settings!$C$22:$H$22)/20*100,"")</x:f>
      </x:c>
      <x:c r="L59" s="17" t="str">
        <x:f>IF(J59="OK",E59+F59*Settings!$C$12*Settings!$C$11,"")</x:f>
      </x:c>
      <x:c r="M59" s="2" t="str">
        <x:f>IF(J59="","",IF(J59&lt;&gt;"OK","Fix data",IF(Settings!$C$14&lt;&gt;"OK","Fix settings",IF(Settings!$E$24&lt;&gt;"OK","Fix weights",IF(C59&lt;&gt;Settings!$C$6,"Different position",IF(D59&gt;Settings!$C$9,"Age limit",IF(E59&gt;Settings!$C$7,"Fee limit",IF(F59&gt;Settings!$C$8,"Wage limit",IF(G59&lt;Settings!$C$10,"Minutes limit","Eligible")))))))))</x:f>
      </x:c>
      <x:c r="N59" s="2" t="str">
        <x:f>IF(M59="Eligible",COUNTIFS($M$2:$M$61,"Eligible",$K$2:$K$61,"&gt;"&amp;K59)+COUNTIFS($M$2:M59,"Eligible",$K$2:K59,K59),"")</x:f>
      </x:c>
      <x:c r="O59" s="17" t="str">
        <x:f>IF(COUNTA(Players!A59:N59)&gt;0,IF(Players!E59="","",Players!E59),"")</x:f>
      </x:c>
      <x:c r="P59" s="2" t="str">
        <x:f>IF(M59&lt;&gt;"Eligible","",COUNTIFS($M$2:$M$61,"Eligible",$K$2:$K$61,"&gt;"&amp;K59,$L$2:$L$61,"&lt;="&amp;L59)+COUNTIFS($M$2:$M$61,"Eligible",$K$2:$K$61,K59,$L$2:$L$61,"&lt;"&amp;L59))</x:f>
      </x:c>
      <x:c r="Q59" s="2" t="str">
        <x:f>IF(M59&lt;&gt;"Eligible","",IF(P59=0,"Frontier","Dominated"))</x:f>
      </x:c>
    </x:row>
    <x:row r="60" ht="23" customHeight="1">
      <x:c r="A60" s="2" t="str">
        <x:f>IF(COUNTA(Players!A60:N60)&gt;0,IF(Players!A60="","",Players!A60),"")</x:f>
      </x:c>
      <x:c r="B60" s="2" t="str">
        <x:f>IF(COUNTA(Players!A60:N60)&gt;0,IF(Players!B60="","",Players!B60),"")</x:f>
      </x:c>
      <x:c r="C60" s="2" t="str">
        <x:f>IF(COUNTA(Players!A60:N60)&gt;0,IF(Players!C60="","",Players!C60),"")</x:f>
      </x:c>
      <x:c r="D60" s="2" t="str">
        <x:f>IF(COUNTA(Players!A60:N60)&gt;0,IF(Players!D60="","",Players!D60),"")</x:f>
      </x:c>
      <x:c r="E60" s="17" t="str">
        <x:f>IF(COUNTA(Players!A60:N60)&gt;0,IF(Players!F60="","",Players!F60),"")</x:f>
      </x:c>
      <x:c r="F60" s="17" t="str">
        <x:f>IF(COUNTA(Players!A60:N60)&gt;0,IF(Players!G60="","",Players!G60),"")</x:f>
      </x:c>
      <x:c r="G60" s="2" t="str">
        <x:f>IF(COUNTA(Players!A60:N60)&gt;0,IF(Players!H60="","",Players!H60),"")</x:f>
      </x:c>
      <x:c r="H60" s="2" t="str">
        <x:f>IF(COUNTA(Players!A60:N60)&gt;0,COUNT(Players!I60:N60),"")</x:f>
      </x:c>
      <x:c r="I60" s="2" t="str">
        <x:f>IF(COUNTA(Players!A60:N60)&gt;0,COUNTIF(Players!$A$2:$A$61,A60),"")</x:f>
      </x:c>
      <x:c r="J60" s="2" t="str">
        <x:f>IF(NOT(COUNTA(Players!A60:N60)&gt;0),"",IF(OR(A60="",B60=""),"Missing identity",IF(I60&gt;1,"Duplicate ID",IF(OR(COUNT(Players!D60:H60)&lt;&gt;5,H60&lt;&gt;6),"Missing numeric data",IF(OR(D60&lt;15,D60&gt;50,O60&lt;0,E60&lt;O60,F60&lt;0,G60&lt;0,MIN(Players!I60:N60)&lt;1,MAX(Players!I60:N60)&gt;20,COUNTIF(Settings!$B$17:$B$20,C60)&lt;&gt;1),"Invalid input","OK")))))</x:f>
      </x:c>
      <x:c r="K60" s="19" t="str">
        <x:f>IF(AND(J60="OK",Settings!$E$24="OK",Settings!$C$14="OK"),SUMPRODUCT(Players!I60:N60,Settings!$C$22:$H$22)/20*100,"")</x:f>
      </x:c>
      <x:c r="L60" s="17" t="str">
        <x:f>IF(J60="OK",E60+F60*Settings!$C$12*Settings!$C$11,"")</x:f>
      </x:c>
      <x:c r="M60" s="2" t="str">
        <x:f>IF(J60="","",IF(J60&lt;&gt;"OK","Fix data",IF(Settings!$C$14&lt;&gt;"OK","Fix settings",IF(Settings!$E$24&lt;&gt;"OK","Fix weights",IF(C60&lt;&gt;Settings!$C$6,"Different position",IF(D60&gt;Settings!$C$9,"Age limit",IF(E60&gt;Settings!$C$7,"Fee limit",IF(F60&gt;Settings!$C$8,"Wage limit",IF(G60&lt;Settings!$C$10,"Minutes limit","Eligible")))))))))</x:f>
      </x:c>
      <x:c r="N60" s="2" t="str">
        <x:f>IF(M60="Eligible",COUNTIFS($M$2:$M$61,"Eligible",$K$2:$K$61,"&gt;"&amp;K60)+COUNTIFS($M$2:M60,"Eligible",$K$2:K60,K60),"")</x:f>
      </x:c>
      <x:c r="O60" s="17" t="str">
        <x:f>IF(COUNTA(Players!A60:N60)&gt;0,IF(Players!E60="","",Players!E60),"")</x:f>
      </x:c>
      <x:c r="P60" s="2" t="str">
        <x:f>IF(M60&lt;&gt;"Eligible","",COUNTIFS($M$2:$M$61,"Eligible",$K$2:$K$61,"&gt;"&amp;K60,$L$2:$L$61,"&lt;="&amp;L60)+COUNTIFS($M$2:$M$61,"Eligible",$K$2:$K$61,K60,$L$2:$L$61,"&lt;"&amp;L60))</x:f>
      </x:c>
      <x:c r="Q60" s="2" t="str">
        <x:f>IF(M60&lt;&gt;"Eligible","",IF(P60=0,"Frontier","Dominated"))</x:f>
      </x:c>
    </x:row>
    <x:row r="61" ht="23" customHeight="1">
      <x:c r="A61" s="2" t="str">
        <x:f>IF(COUNTA(Players!A61:N61)&gt;0,IF(Players!A61="","",Players!A61),"")</x:f>
      </x:c>
      <x:c r="B61" s="2" t="str">
        <x:f>IF(COUNTA(Players!A61:N61)&gt;0,IF(Players!B61="","",Players!B61),"")</x:f>
      </x:c>
      <x:c r="C61" s="2" t="str">
        <x:f>IF(COUNTA(Players!A61:N61)&gt;0,IF(Players!C61="","",Players!C61),"")</x:f>
      </x:c>
      <x:c r="D61" s="2" t="str">
        <x:f>IF(COUNTA(Players!A61:N61)&gt;0,IF(Players!D61="","",Players!D61),"")</x:f>
      </x:c>
      <x:c r="E61" s="17" t="str">
        <x:f>IF(COUNTA(Players!A61:N61)&gt;0,IF(Players!F61="","",Players!F61),"")</x:f>
      </x:c>
      <x:c r="F61" s="17" t="str">
        <x:f>IF(COUNTA(Players!A61:N61)&gt;0,IF(Players!G61="","",Players!G61),"")</x:f>
      </x:c>
      <x:c r="G61" s="2" t="str">
        <x:f>IF(COUNTA(Players!A61:N61)&gt;0,IF(Players!H61="","",Players!H61),"")</x:f>
      </x:c>
      <x:c r="H61" s="2" t="str">
        <x:f>IF(COUNTA(Players!A61:N61)&gt;0,COUNT(Players!I61:N61),"")</x:f>
      </x:c>
      <x:c r="I61" s="2" t="str">
        <x:f>IF(COUNTA(Players!A61:N61)&gt;0,COUNTIF(Players!$A$2:$A$61,A61),"")</x:f>
      </x:c>
      <x:c r="J61" s="2" t="str">
        <x:f>IF(NOT(COUNTA(Players!A61:N61)&gt;0),"",IF(OR(A61="",B61=""),"Missing identity",IF(I61&gt;1,"Duplicate ID",IF(OR(COUNT(Players!D61:H61)&lt;&gt;5,H61&lt;&gt;6),"Missing numeric data",IF(OR(D61&lt;15,D61&gt;50,O61&lt;0,E61&lt;O61,F61&lt;0,G61&lt;0,MIN(Players!I61:N61)&lt;1,MAX(Players!I61:N61)&gt;20,COUNTIF(Settings!$B$17:$B$20,C61)&lt;&gt;1),"Invalid input","OK")))))</x:f>
      </x:c>
      <x:c r="K61" s="19" t="str">
        <x:f>IF(AND(J61="OK",Settings!$E$24="OK",Settings!$C$14="OK"),SUMPRODUCT(Players!I61:N61,Settings!$C$22:$H$22)/20*100,"")</x:f>
      </x:c>
      <x:c r="L61" s="17" t="str">
        <x:f>IF(J61="OK",E61+F61*Settings!$C$12*Settings!$C$11,"")</x:f>
      </x:c>
      <x:c r="M61" s="2" t="str">
        <x:f>IF(J61="","",IF(J61&lt;&gt;"OK","Fix data",IF(Settings!$C$14&lt;&gt;"OK","Fix settings",IF(Settings!$E$24&lt;&gt;"OK","Fix weights",IF(C61&lt;&gt;Settings!$C$6,"Different position",IF(D61&gt;Settings!$C$9,"Age limit",IF(E61&gt;Settings!$C$7,"Fee limit",IF(F61&gt;Settings!$C$8,"Wage limit",IF(G61&lt;Settings!$C$10,"Minutes limit","Eligible")))))))))</x:f>
      </x:c>
      <x:c r="N61" s="2" t="str">
        <x:f>IF(M61="Eligible",COUNTIFS($M$2:$M$61,"Eligible",$K$2:$K$61,"&gt;"&amp;K61)+COUNTIFS($M$2:M61,"Eligible",$K$2:K61,K61),"")</x:f>
      </x:c>
      <x:c r="O61" s="17" t="str">
        <x:f>IF(COUNTA(Players!A61:N61)&gt;0,IF(Players!E61="","",Players!E61),"")</x:f>
      </x:c>
      <x:c r="P61" s="2" t="str">
        <x:f>IF(M61&lt;&gt;"Eligible","",COUNTIFS($M$2:$M$61,"Eligible",$K$2:$K$61,"&gt;"&amp;K61,$L$2:$L$61,"&lt;="&amp;L61)+COUNTIFS($M$2:$M$61,"Eligible",$K$2:$K$61,K61,$L$2:$L$61,"&lt;"&amp;L61))</x:f>
      </x:c>
      <x:c r="Q61" s="2" t="str">
        <x:f>IF(M61&lt;&gt;"Eligible","",IF(P61=0,"Frontier","Dominated"))</x:f>
      </x:c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</x:row>
  </x:sheetData>
  <x:conditionalFormatting sqref="J2:J61">
    <x:cfRule type="expression" dxfId="3" priority="1">
      <x:formula>AND(J2&lt;&gt;"",J2&lt;&gt;"OK")</x:formula>
    </x:cfRule>
  </x:conditionalFormatting>
  <x:conditionalFormatting sqref="M2:M61">
    <x:cfRule type="expression" dxfId="4" priority="2">
      <x:formula>M2="Fix weights"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988bff116884215"/>
  </x:tableParts>
</x:worksheet>
</file>

<file path=xl/worksheets/sheet4.xml><?xml version="1.0" encoding="utf-8"?>
<x:worksheet xmlns:x="http://schemas.openxmlformats.org/spreadsheetml/2006/main">
  <x:sheetPr>
    <x:tabColor rgb="FF849D66"/>
  </x:sheetPr>
  <x:sheetViews>
    <x:sheetView showGridLines="0" workbookViewId="0"/>
  </x:sheetViews>
  <x:sheetFormatPr defaultRowHeight="15"/>
  <x:cols>
    <x:col min="1" max="1" width="3" hidden="0" customWidth="1"/>
    <x:col min="2" max="2" width="27" hidden="0" customWidth="1"/>
    <x:col min="3" max="3" width="2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2" customHeight="1">
      <x:c r="A2" s="2"/>
      <x:c r="B2" s="4" t="str">
        <x:v>Recruitment settings</x:v>
      </x:c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customHeight="1">
      <x:c r="A4" s="2"/>
      <x:c r="B4" s="6" t="str">
        <x:v>EDIT AMBER CELLS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3" customHeight="1">
      <x:c r="A6" s="2"/>
      <x:c r="B6" s="2" t="str">
        <x:v>Target position</x:v>
      </x:c>
      <x:c r="C6" s="8" t="str">
        <x:v>Midfielder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23" customHeight="1">
      <x:c r="A7" s="2"/>
      <x:c r="B7" s="2" t="str">
        <x:v>Fee limit GBP</x:v>
      </x:c>
      <x:c r="C7" s="9" t="n">
        <x:v>4500000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3" customHeight="1">
      <x:c r="A8" s="2"/>
      <x:c r="B8" s="2" t="str">
        <x:v>Weekly wage limit GBP</x:v>
      </x:c>
      <x:c r="C8" s="9" t="n">
        <x:v>30000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23" customHeight="1">
      <x:c r="A9" s="2"/>
      <x:c r="B9" s="2" t="str">
        <x:v>Maximum age</x:v>
      </x:c>
      <x:c r="C9" s="8" t="n">
        <x:v>27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23" customHeight="1">
      <x:c r="A10" s="2"/>
      <x:c r="B10" s="2" t="str">
        <x:v>Minimum minutes</x:v>
      </x:c>
      <x:c r="C10" s="8" t="n">
        <x:v>900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23" customHeight="1">
      <x:c r="A11" s="2"/>
      <x:c r="B11" s="2" t="str">
        <x:v>Contract years</x:v>
      </x:c>
      <x:c r="C11" s="8" t="n">
        <x:v>3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23" customHeight="1">
      <x:c r="A12" s="2"/>
      <x:c r="B12" s="2" t="str">
        <x:v>Weeks per year</x:v>
      </x:c>
      <x:c r="C12" s="2" t="n">
        <x:v>52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23" customHeight="1">
      <x:c r="A14" s="2"/>
      <x:c r="B14" s="2" t="str">
        <x:v>Controls check</x:v>
      </x:c>
      <x:c r="C14" s="2" t="str">
        <x:f>IF(AND(COUNT(C7:C12)=6,MIN(C7:C10)&gt;=0,C9&gt;=15,C11&gt;=1,C11&lt;=10,C11=INT(C11),C12=52,COUNTIF(B17:B20,C6)=1),"OK","Fix inputs")</x:f>
        <x:v>OK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30" customHeight="1">
      <x:c r="A16" s="2"/>
      <x:c r="B16" s="13" t="str">
        <x:v>Role</x:v>
      </x:c>
      <x:c r="C16" s="13" t="str">
        <x:v>Finishing</x:v>
      </x:c>
      <x:c r="D16" s="13" t="str">
        <x:v>Passing</x:v>
      </x:c>
      <x:c r="E16" s="13" t="str">
        <x:v>Tackling</x:v>
      </x:c>
      <x:c r="F16" s="13" t="str">
        <x:v>Positioning</x:v>
      </x:c>
      <x:c r="G16" s="13" t="str">
        <x:v>Pace</x:v>
      </x:c>
      <x:c r="H16" s="13" t="str">
        <x:v>Work rate</x:v>
      </x:c>
      <x:c r="I16" s="2"/>
      <x:c r="J16" s="2"/>
      <x:c r="K16" s="2"/>
      <x:c r="L16" s="2"/>
      <x:c r="M16" s="2"/>
      <x:c r="N16" s="2"/>
    </x:row>
    <x:row r="17" ht="23" customHeight="1">
      <x:c r="A17" s="2"/>
      <x:c r="B17" s="2" t="str">
        <x:v>Centre-back</x:v>
      </x:c>
      <x:c r="C17" s="14" t="n">
        <x:v>0.02</x:v>
      </x:c>
      <x:c r="D17" s="14" t="n">
        <x:v>0.12</x:v>
      </x:c>
      <x:c r="E17" s="14" t="n">
        <x:v>0.26</x:v>
      </x:c>
      <x:c r="F17" s="14" t="n">
        <x:v>0.3</x:v>
      </x:c>
      <x:c r="G17" s="14" t="n">
        <x:v>0.1</x:v>
      </x:c>
      <x:c r="H17" s="14" t="n">
        <x:v>0.2</x:v>
      </x:c>
      <x:c r="I17" s="2"/>
      <x:c r="J17" s="2"/>
      <x:c r="K17" s="2"/>
      <x:c r="L17" s="2"/>
      <x:c r="M17" s="2"/>
      <x:c r="N17" s="2"/>
    </x:row>
    <x:row r="18" ht="23" customHeight="1">
      <x:c r="A18" s="2"/>
      <x:c r="B18" s="2" t="str">
        <x:v>Midfielder</x:v>
      </x:c>
      <x:c r="C18" s="14" t="n">
        <x:v>0.05</x:v>
      </x:c>
      <x:c r="D18" s="14" t="n">
        <x:v>0.3</x:v>
      </x:c>
      <x:c r="E18" s="14" t="n">
        <x:v>0.15</x:v>
      </x:c>
      <x:c r="F18" s="14" t="n">
        <x:v>0.2</x:v>
      </x:c>
      <x:c r="G18" s="14" t="n">
        <x:v>0.1</x:v>
      </x:c>
      <x:c r="H18" s="14" t="n">
        <x:v>0.2</x:v>
      </x:c>
      <x:c r="I18" s="2"/>
      <x:c r="J18" s="2"/>
      <x:c r="K18" s="2"/>
      <x:c r="L18" s="2"/>
      <x:c r="M18" s="2"/>
      <x:c r="N18" s="2"/>
    </x:row>
    <x:row r="19" ht="23" customHeight="1">
      <x:c r="A19" s="2"/>
      <x:c r="B19" s="2" t="str">
        <x:v>Striker</x:v>
      </x:c>
      <x:c r="C19" s="14" t="n">
        <x:v>0.4</x:v>
      </x:c>
      <x:c r="D19" s="14" t="n">
        <x:v>0.08</x:v>
      </x:c>
      <x:c r="E19" s="14" t="n">
        <x:v>0.02</x:v>
      </x:c>
      <x:c r="F19" s="14" t="n">
        <x:v>0.15</x:v>
      </x:c>
      <x:c r="G19" s="14" t="n">
        <x:v>0.2</x:v>
      </x:c>
      <x:c r="H19" s="14" t="n">
        <x:v>0.15</x:v>
      </x:c>
      <x:c r="I19" s="2"/>
      <x:c r="J19" s="2"/>
      <x:c r="K19" s="2"/>
      <x:c r="L19" s="2"/>
      <x:c r="M19" s="2"/>
      <x:c r="N19" s="2"/>
    </x:row>
    <x:row r="20" ht="23" customHeight="1">
      <x:c r="A20" s="2"/>
      <x:c r="B20" s="2" t="str">
        <x:v>Wide forward</x:v>
      </x:c>
      <x:c r="C20" s="14" t="n">
        <x:v>0.22</x:v>
      </x:c>
      <x:c r="D20" s="14" t="n">
        <x:v>0.2</x:v>
      </x:c>
      <x:c r="E20" s="14" t="n">
        <x:v>0.03</x:v>
      </x:c>
      <x:c r="F20" s="14" t="n">
        <x:v>0.08</x:v>
      </x:c>
      <x:c r="G20" s="14" t="n">
        <x:v>0.32</x:v>
      </x:c>
      <x:c r="H20" s="14" t="n">
        <x:v>0.15</x:v>
      </x:c>
      <x:c r="I20" s="2"/>
      <x:c r="J20" s="2"/>
      <x:c r="K20" s="2"/>
      <x:c r="L20" s="2"/>
      <x:c r="M20" s="2"/>
      <x:c r="N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3" customHeight="1">
      <x:c r="A22" s="2"/>
      <x:c r="B22" s="6" t="str">
        <x:v>Active weights</x:v>
      </x:c>
      <x:c r="C22" s="16" t="n">
        <x:f>IF(COUNTIF($B$17:$B$20,$C$6)=1,INDEX(C17:H20,MATCH($C$6,$B$17:$B$20,0),1),"")</x:f>
        <x:v>0.05</x:v>
      </x:c>
      <x:c r="D22" s="16" t="n">
        <x:f>IF(COUNTIF($B$17:$B$20,$C$6)=1,INDEX(C17:H20,MATCH($C$6,$B$17:$B$20,0),2),"")</x:f>
        <x:v>0.3</x:v>
      </x:c>
      <x:c r="E22" s="16" t="n">
        <x:f>IF(COUNTIF($B$17:$B$20,$C$6)=1,INDEX(C17:H20,MATCH($C$6,$B$17:$B$20,0),3),"")</x:f>
        <x:v>0.15</x:v>
      </x:c>
      <x:c r="F22" s="16" t="n">
        <x:f>IF(COUNTIF($B$17:$B$20,$C$6)=1,INDEX(C17:H20,MATCH($C$6,$B$17:$B$20,0),4),"")</x:f>
        <x:v>0.2</x:v>
      </x:c>
      <x:c r="G22" s="16" t="n">
        <x:f>IF(COUNTIF($B$17:$B$20,$C$6)=1,INDEX(C17:H20,MATCH($C$6,$B$17:$B$20,0),5),"")</x:f>
        <x:v>0.1</x:v>
      </x:c>
      <x:c r="H22" s="16" t="n">
        <x:f>IF(COUNTIF($B$17:$B$20,$C$6)=1,INDEX(C17:H20,MATCH($C$6,$B$17:$B$20,0),6),"")</x:f>
        <x:v>0.2</x:v>
      </x:c>
      <x:c r="I22" s="2"/>
      <x:c r="J22" s="2"/>
      <x:c r="K22" s="2"/>
      <x:c r="L22" s="2"/>
      <x:c r="M22" s="2"/>
      <x:c r="N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3" customHeight="1">
      <x:c r="A24" s="2"/>
      <x:c r="B24" s="2" t="str">
        <x:v>Weights total</x:v>
      </x:c>
      <x:c r="C24" s="15" t="n">
        <x:f>SUM(C22:H22)</x:f>
        <x:v>1</x:v>
      </x:c>
      <x:c r="D24" s="2"/>
      <x:c r="E24" s="2" t="str">
        <x:f>IF(AND(ABS(C24-1)&lt;0.000001,COUNT(C22:H22)=6,MIN(C22:H22)&gt;=0,MAX(C22:H22)&lt;=1),"OK","Fix weights: use 0–100%, total 100%")</x:f>
        <x:v>OK</x:v>
      </x:c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3" customHeight="1">
      <x:c r="A27" s="2"/>
      <x:c r="B27" s="2" t="str">
        <x:v>Role score = SUMPRODUCT(attributes, active weights) / 20 × 100.</x:v>
      </x:c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3" customHeight="1">
      <x:c r="A29" s="2"/>
      <x:c r="B29" s="2" t="str">
        <x:v>Weights are editable scouting preferences, not an estimate of hidden ability.</x:v>
      </x:c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3" customHeight="1">
      <x:c r="A31" s="2"/>
      <x:c r="B31" s="2" t="str">
        <x:v>Fee screening uses the HIGH estimate. Unknown costs are excluded.</x:v>
      </x:c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3" customHeight="1">
      <x:c r="A33" s="2"/>
      <x:c r="B33" s="2" t="str">
        <x:v>Commitment = high fee + weekly wage × 52 × contract years.</x:v>
      </x:c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3" customHeight="1">
      <x:c r="A35" s="2"/>
      <x:c r="B35" s="2" t="str">
        <x:v>Commitment excludes bonuses, agent fees, tax, add-ons and resale value.</x:v>
      </x:c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3" customHeight="1">
      <x:c r="A37" s="2"/>
      <x:c r="B37" s="2" t="str">
        <x:v>Minutes are a screening threshold, not evidence that attributes are more accurate.</x:v>
      </x:c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3" customHeight="1">
      <x:c r="A39" s="2"/>
      <x:c r="B39" s="2" t="str">
        <x:v>Position groups are a manual mapping; they do not certify tactical familiarity.</x:v>
      </x:c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3" customHeight="1">
      <x:c r="A41" s="2"/>
      <x:c r="B41" s="2" t="str">
        <x:v>Demo source: fictional, reproducible records in data/demo_players.csv.</x:v>
      </x:c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3" customHeight="1">
      <x:c r="A43" s="2"/>
      <x:c r="B43" s="2" t="str">
        <x:v>Use the README for input mapping, formula definitions and limitations.</x:v>
      </x:c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</x:sheetData>
  <x:conditionalFormatting sqref="B14:C14">
    <x:cfRule type="expression" dxfId="0" priority="1">
      <x:formula>$C$14&lt;&gt;"OK"</x:formula>
    </x:cfRule>
  </x:conditionalFormatting>
  <x:conditionalFormatting sqref="C24:H24">
    <x:cfRule type="expression" dxfId="1" priority="2">
      <x:formula>$E$24&lt;&gt;"OK"</x:formula>
    </x:cfRule>
  </x:conditionalFormatting>
  <x:dataValidations count="7">
    <x:dataValidation type="list" sqref="C6">
      <x:formula1>"Centre-back,Midfielder,Striker,Wide forward"</x:formula1>
    </x:dataValidation>
    <x:dataValidation type="whole" operator="between" sqref="C7">
      <x:formula1>0</x:formula1>
      <x:formula2>1000000000</x:formula2>
    </x:dataValidation>
    <x:dataValidation type="whole" operator="between" sqref="C8">
      <x:formula1>0</x:formula1>
      <x:formula2>10000000</x:formula2>
    </x:dataValidation>
    <x:dataValidation type="whole" operator="between" sqref="C9">
      <x:formula1>0</x:formula1>
      <x:formula2>50</x:formula2>
    </x:dataValidation>
    <x:dataValidation type="whole" operator="between" sqref="C10">
      <x:formula1>0</x:formula1>
      <x:formula2>100000</x:formula2>
    </x:dataValidation>
    <x:dataValidation type="whole" operator="between" sqref="C11">
      <x:formula1>1</x:formula1>
      <x:formula2>10</x:formula2>
    </x:dataValidation>
    <x:dataValidation type="decimal" operator="between" sqref="C17:H20">
      <x:formula1>0</x:formula1>
      <x:formula2>1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19" hidden="0" customWidth="1"/>
    <x:col min="4" max="4" width="8" hidden="0" customWidth="1"/>
    <x:col min="5" max="5" width="17" hidden="0" customWidth="1"/>
    <x:col min="6" max="6" width="17" hidden="0" customWidth="1"/>
    <x:col min="7" max="7" width="17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0" customHeight="1">
      <x:c r="A1" s="13" t="str">
        <x:v>Player ID</x:v>
      </x:c>
      <x:c r="B1" s="13" t="str">
        <x:v>Player</x:v>
      </x:c>
      <x:c r="C1" s="13" t="str">
        <x:v>Position group</x:v>
      </x:c>
      <x:c r="D1" s="13" t="str">
        <x:v>Age</x:v>
      </x:c>
      <x:c r="E1" s="13" t="str">
        <x:v>Fee low GBP</x:v>
      </x:c>
      <x:c r="F1" s="13" t="str">
        <x:v>Fee high GBP</x:v>
      </x:c>
      <x:c r="G1" s="13" t="str">
        <x:v>Wage GBP/week</x:v>
      </x:c>
      <x:c r="H1" s="13" t="str">
        <x:v>Minutes</x:v>
      </x:c>
      <x:c r="I1" s="13" t="str">
        <x:v>Finishing</x:v>
      </x:c>
      <x:c r="J1" s="13" t="str">
        <x:v>Passing</x:v>
      </x:c>
      <x:c r="K1" s="13" t="str">
        <x:v>Tackling</x:v>
      </x:c>
      <x:c r="L1" s="13" t="str">
        <x:v>Positioning</x:v>
      </x:c>
      <x:c r="M1" s="13" t="str">
        <x:v>Pace</x:v>
      </x:c>
      <x:c r="N1" s="13" t="str">
        <x:v>Work rate</x:v>
      </x:c>
    </x:row>
    <x:row r="2" ht="23" customHeight="1">
      <x:c r="A2" s="2" t="str">
        <x:v>P001</x:v>
      </x:c>
      <x:c r="B2" s="2" t="str">
        <x:v>Aiden Vale</x:v>
      </x:c>
      <x:c r="C2" s="2" t="str">
        <x:v>Centre-back</x:v>
      </x:c>
      <x:c r="D2" s="2" t="n">
        <x:v>19</x:v>
      </x:c>
      <x:c r="E2" s="17" t="n">
        <x:v>800000</x:v>
      </x:c>
      <x:c r="F2" s="17" t="n">
        <x:v>1300000</x:v>
      </x:c>
      <x:c r="G2" s="17" t="n">
        <x:v>7000</x:v>
      </x:c>
      <x:c r="H2" s="18" t="n">
        <x:v>540</x:v>
      </x:c>
      <x:c r="I2" s="2" t="n">
        <x:v>8</x:v>
      </x:c>
      <x:c r="J2" s="2" t="n">
        <x:v>11</x:v>
      </x:c>
      <x:c r="K2" s="2" t="n">
        <x:v>14</x:v>
      </x:c>
      <x:c r="L2" s="2" t="n">
        <x:v>14</x:v>
      </x:c>
      <x:c r="M2" s="2" t="n">
        <x:v>10</x:v>
      </x:c>
      <x:c r="N2" s="2" t="n">
        <x:v>13</x:v>
      </x:c>
    </x:row>
    <x:row r="3" ht="23" customHeight="1">
      <x:c r="A3" s="2" t="str">
        <x:v>P002</x:v>
      </x:c>
      <x:c r="B3" s="2" t="str">
        <x:v>Marco Linden</x:v>
      </x:c>
      <x:c r="C3" s="2" t="str">
        <x:v>Midfielder</x:v>
      </x:c>
      <x:c r="D3" s="2" t="n">
        <x:v>20</x:v>
      </x:c>
      <x:c r="E3" s="17" t="n">
        <x:v>1200000</x:v>
      </x:c>
      <x:c r="F3" s="17" t="n">
        <x:v>1900000</x:v>
      </x:c>
      <x:c r="G3" s="17" t="n">
        <x:v>10000</x:v>
      </x:c>
      <x:c r="H3" s="18" t="n">
        <x:v>900</x:v>
      </x:c>
      <x:c r="I3" s="2" t="n">
        <x:v>15</x:v>
      </x:c>
      <x:c r="J3" s="2" t="n">
        <x:v>15</x:v>
      </x:c>
      <x:c r="K3" s="2" t="n">
        <x:v>13</x:v>
      </x:c>
      <x:c r="L3" s="2" t="n">
        <x:v>17</x:v>
      </x:c>
      <x:c r="M3" s="2" t="n">
        <x:v>11</x:v>
      </x:c>
      <x:c r="N3" s="2" t="n">
        <x:v>15</x:v>
      </x:c>
    </x:row>
    <x:row r="4" ht="23" customHeight="1">
      <x:c r="A4" s="2" t="str">
        <x:v>P003</x:v>
      </x:c>
      <x:c r="B4" s="2" t="str">
        <x:v>Elias North</x:v>
      </x:c>
      <x:c r="C4" s="2" t="str">
        <x:v>Striker</x:v>
      </x:c>
      <x:c r="D4" s="2" t="n">
        <x:v>21</x:v>
      </x:c>
      <x:c r="E4" s="17" t="n">
        <x:v>1600000</x:v>
      </x:c>
      <x:c r="F4" s="17" t="n">
        <x:v>2500000</x:v>
      </x:c>
      <x:c r="G4" s="17" t="n">
        <x:v>13000</x:v>
      </x:c>
      <x:c r="H4" s="18" t="n">
        <x:v>1260</x:v>
      </x:c>
      <x:c r="I4" s="2" t="n">
        <x:v>16</x:v>
      </x:c>
      <x:c r="J4" s="2" t="n">
        <x:v>17</x:v>
      </x:c>
      <x:c r="K4" s="2" t="n">
        <x:v>12</x:v>
      </x:c>
      <x:c r="L4" s="2" t="n">
        <x:v>17</x:v>
      </x:c>
      <x:c r="M4" s="2" t="n">
        <x:v>12</x:v>
      </x:c>
      <x:c r="N4" s="2" t="n">
        <x:v>17</x:v>
      </x:c>
    </x:row>
    <x:row r="5" ht="23" customHeight="1">
      <x:c r="A5" s="2" t="str">
        <x:v>P004</x:v>
      </x:c>
      <x:c r="B5" s="2" t="str">
        <x:v>Leo Mercer</x:v>
      </x:c>
      <x:c r="C5" s="2" t="str">
        <x:v>Wide forward</x:v>
      </x:c>
      <x:c r="D5" s="2" t="n">
        <x:v>22</x:v>
      </x:c>
      <x:c r="E5" s="17" t="n">
        <x:v>2000000</x:v>
      </x:c>
      <x:c r="F5" s="17" t="n">
        <x:v>2500000</x:v>
      </x:c>
      <x:c r="G5" s="17" t="n">
        <x:v>16000</x:v>
      </x:c>
      <x:c r="H5" s="18" t="n">
        <x:v>1620</x:v>
      </x:c>
      <x:c r="I5" s="2" t="n">
        <x:v>9</x:v>
      </x:c>
      <x:c r="J5" s="2" t="n">
        <x:v>12</x:v>
      </x:c>
      <x:c r="K5" s="2" t="n">
        <x:v>15</x:v>
      </x:c>
      <x:c r="L5" s="2" t="n">
        <x:v>8</x:v>
      </x:c>
      <x:c r="M5" s="2" t="n">
        <x:v>17</x:v>
      </x:c>
      <x:c r="N5" s="2" t="n">
        <x:v>14</x:v>
      </x:c>
    </x:row>
    <x:row r="6" ht="23" customHeight="1">
      <x:c r="A6" s="2" t="str">
        <x:v>P005</x:v>
      </x:c>
      <x:c r="B6" s="2" t="str">
        <x:v>Ruben Ash</x:v>
      </x:c>
      <x:c r="C6" s="2" t="str">
        <x:v>Centre-back</x:v>
      </x:c>
      <x:c r="D6" s="2" t="n">
        <x:v>23</x:v>
      </x:c>
      <x:c r="E6" s="17" t="n">
        <x:v>2400000</x:v>
      </x:c>
      <x:c r="F6" s="17" t="n">
        <x:v>3100000</x:v>
      </x:c>
      <x:c r="G6" s="17" t="n">
        <x:v>19000</x:v>
      </x:c>
      <x:c r="H6" s="18" t="n">
        <x:v>1980</x:v>
      </x:c>
      <x:c r="I6" s="2" t="n">
        <x:v>16</x:v>
      </x:c>
      <x:c r="J6" s="2" t="n">
        <x:v>10</x:v>
      </x:c>
      <x:c r="K6" s="2" t="n">
        <x:v>14</x:v>
      </x:c>
      <x:c r="L6" s="2" t="n">
        <x:v>18</x:v>
      </x:c>
      <x:c r="M6" s="2" t="n">
        <x:v>12</x:v>
      </x:c>
      <x:c r="N6" s="2" t="n">
        <x:v>16</x:v>
      </x:c>
    </x:row>
    <x:row r="7" ht="23" customHeight="1">
      <x:c r="A7" s="2" t="str">
        <x:v>P006</x:v>
      </x:c>
      <x:c r="B7" s="2" t="str">
        <x:v>Tomas Reed</x:v>
      </x:c>
      <x:c r="C7" s="2" t="str">
        <x:v>Midfielder</x:v>
      </x:c>
      <x:c r="D7" s="2" t="n">
        <x:v>24</x:v>
      </x:c>
      <x:c r="E7" s="17" t="n">
        <x:v>2800000</x:v>
      </x:c>
      <x:c r="F7" s="17" t="n">
        <x:v>3700000</x:v>
      </x:c>
      <x:c r="G7" s="17" t="n">
        <x:v>22000</x:v>
      </x:c>
      <x:c r="H7" s="18" t="n">
        <x:v>2340</x:v>
      </x:c>
      <x:c r="I7" s="2" t="n">
        <x:v>13</x:v>
      </x:c>
      <x:c r="J7" s="2" t="n">
        <x:v>14</x:v>
      </x:c>
      <x:c r="K7" s="2" t="n">
        <x:v>13</x:v>
      </x:c>
      <x:c r="L7" s="2" t="n">
        <x:v>8</x:v>
      </x:c>
      <x:c r="M7" s="2" t="n">
        <x:v>13</x:v>
      </x:c>
      <x:c r="N7" s="2" t="n">
        <x:v>8</x:v>
      </x:c>
    </x:row>
    <x:row r="8" ht="23" customHeight="1">
      <x:c r="A8" s="2" t="str">
        <x:v>P007</x:v>
      </x:c>
      <x:c r="B8" s="2" t="str">
        <x:v>Theo Marin</x:v>
      </x:c>
      <x:c r="C8" s="2" t="str">
        <x:v>Striker</x:v>
      </x:c>
      <x:c r="D8" s="2" t="n">
        <x:v>25</x:v>
      </x:c>
      <x:c r="E8" s="17" t="n">
        <x:v>3200000</x:v>
      </x:c>
      <x:c r="F8" s="17" t="n">
        <x:v>3700000</x:v>
      </x:c>
      <x:c r="G8" s="17" t="n">
        <x:v>25000</x:v>
      </x:c>
      <x:c r="H8" s="18" t="n">
        <x:v>2700</x:v>
      </x:c>
      <x:c r="I8" s="2" t="n">
        <x:v>15</x:v>
      </x:c>
      <x:c r="J8" s="2" t="n">
        <x:v>13</x:v>
      </x:c>
      <x:c r="K8" s="2" t="n">
        <x:v>16</x:v>
      </x:c>
      <x:c r="L8" s="2" t="n">
        <x:v>9</x:v>
      </x:c>
      <x:c r="M8" s="2" t="n">
        <x:v>12</x:v>
      </x:c>
      <x:c r="N8" s="2" t="n">
        <x:v>15</x:v>
      </x:c>
    </x:row>
    <x:row r="9" ht="23" customHeight="1">
      <x:c r="A9" s="2" t="str">
        <x:v>P008</x:v>
      </x:c>
      <x:c r="B9" s="2" t="str">
        <x:v>Noah Calder</x:v>
      </x:c>
      <x:c r="C9" s="2" t="str">
        <x:v>Wide forward</x:v>
      </x:c>
      <x:c r="D9" s="2" t="n">
        <x:v>26</x:v>
      </x:c>
      <x:c r="E9" s="17" t="n">
        <x:v>3600000</x:v>
      </x:c>
      <x:c r="F9" s="17" t="n">
        <x:v>4300000</x:v>
      </x:c>
      <x:c r="G9" s="17" t="n">
        <x:v>28000</x:v>
      </x:c>
      <x:c r="H9" s="18" t="n">
        <x:v>540</x:v>
      </x:c>
      <x:c r="I9" s="2" t="n">
        <x:v>17</x:v>
      </x:c>
      <x:c r="J9" s="2" t="n">
        <x:v>11</x:v>
      </x:c>
      <x:c r="K9" s="2" t="n">
        <x:v>15</x:v>
      </x:c>
      <x:c r="L9" s="2" t="n">
        <x:v>9</x:v>
      </x:c>
      <x:c r="M9" s="2" t="n">
        <x:v>16</x:v>
      </x:c>
      <x:c r="N9" s="2" t="n">
        <x:v>17</x:v>
      </x:c>
    </x:row>
    <x:row r="10" ht="23" customHeight="1">
      <x:c r="A10" s="2" t="str">
        <x:v>P009</x:v>
      </x:c>
      <x:c r="B10" s="2" t="str">
        <x:v>Oscar Finn</x:v>
      </x:c>
      <x:c r="C10" s="2" t="str">
        <x:v>Centre-back</x:v>
      </x:c>
      <x:c r="D10" s="2" t="n">
        <x:v>27</x:v>
      </x:c>
      <x:c r="E10" s="17" t="n">
        <x:v>800000</x:v>
      </x:c>
      <x:c r="F10" s="17" t="n">
        <x:v>1700000</x:v>
      </x:c>
      <x:c r="G10" s="17" t="n">
        <x:v>7000</x:v>
      </x:c>
      <x:c r="H10" s="18" t="n">
        <x:v>900</x:v>
      </x:c>
      <x:c r="I10" s="2" t="n">
        <x:v>14</x:v>
      </x:c>
      <x:c r="J10" s="2" t="n">
        <x:v>9</x:v>
      </x:c>
      <x:c r="K10" s="2" t="n">
        <x:v>14</x:v>
      </x:c>
      <x:c r="L10" s="2" t="n">
        <x:v>17</x:v>
      </x:c>
      <x:c r="M10" s="2" t="n">
        <x:v>14</x:v>
      </x:c>
      <x:c r="N10" s="2" t="n">
        <x:v>9</x:v>
      </x:c>
    </x:row>
    <x:row r="11" ht="23" customHeight="1">
      <x:c r="A11" s="2" t="str">
        <x:v>P010</x:v>
      </x:c>
      <x:c r="B11" s="2" t="str">
        <x:v>Luca Harrow</x:v>
      </x:c>
      <x:c r="C11" s="2" t="str">
        <x:v>Midfielder</x:v>
      </x:c>
      <x:c r="D11" s="2" t="n">
        <x:v>28</x:v>
      </x:c>
      <x:c r="E11" s="17" t="n">
        <x:v>1200000</x:v>
      </x:c>
      <x:c r="F11" s="17" t="n">
        <x:v>1700000</x:v>
      </x:c>
      <x:c r="G11" s="17" t="n">
        <x:v>10000</x:v>
      </x:c>
      <x:c r="H11" s="18" t="n">
        <x:v>1260</x:v>
      </x:c>
      <x:c r="I11" s="2" t="n">
        <x:v>11</x:v>
      </x:c>
      <x:c r="J11" s="2" t="n">
        <x:v>18</x:v>
      </x:c>
      <x:c r="K11" s="2" t="n">
        <x:v>17</x:v>
      </x:c>
      <x:c r="L11" s="2" t="n">
        <x:v>10</x:v>
      </x:c>
      <x:c r="M11" s="2" t="n">
        <x:v>13</x:v>
      </x:c>
      <x:c r="N11" s="2" t="n">
        <x:v>16</x:v>
      </x:c>
    </x:row>
    <x:row r="12" ht="23" customHeight="1">
      <x:c r="A12" s="2" t="str">
        <x:v>P011</x:v>
      </x:c>
      <x:c r="B12" s="2" t="str">
        <x:v>Ben Alder</x:v>
      </x:c>
      <x:c r="C12" s="2" t="str">
        <x:v>Striker</x:v>
      </x:c>
      <x:c r="D12" s="2" t="n">
        <x:v>29</x:v>
      </x:c>
      <x:c r="E12" s="17" t="n">
        <x:v>1600000</x:v>
      </x:c>
      <x:c r="F12" s="17" t="n">
        <x:v>2300000</x:v>
      </x:c>
      <x:c r="G12" s="17" t="n">
        <x:v>13000</x:v>
      </x:c>
      <x:c r="H12" s="18" t="n">
        <x:v>1620</x:v>
      </x:c>
      <x:c r="I12" s="2" t="n">
        <x:v>14</x:v>
      </x:c>
      <x:c r="J12" s="2" t="n">
        <x:v>12</x:v>
      </x:c>
      <x:c r="K12" s="2" t="n">
        <x:v>16</x:v>
      </x:c>
      <x:c r="L12" s="2" t="n">
        <x:v>10</x:v>
      </x:c>
      <x:c r="M12" s="2" t="n">
        <x:v>14</x:v>
      </x:c>
      <x:c r="N12" s="2" t="n">
        <x:v>8</x:v>
      </x:c>
    </x:row>
    <x:row r="13" ht="23" customHeight="1">
      <x:c r="A13" s="2" t="str">
        <x:v>P012</x:v>
      </x:c>
      <x:c r="B13" s="2" t="str">
        <x:v>Milo Dean</x:v>
      </x:c>
      <x:c r="C13" s="2" t="str">
        <x:v>Wide forward</x:v>
      </x:c>
      <x:c r="D13" s="2" t="n">
        <x:v>19</x:v>
      </x:c>
      <x:c r="E13" s="17" t="n">
        <x:v>2000000</x:v>
      </x:c>
      <x:c r="F13" s="17" t="n">
        <x:v>2900000</x:v>
      </x:c>
      <x:c r="G13" s="17" t="n">
        <x:v>16000</x:v>
      </x:c>
      <x:c r="H13" s="18" t="n">
        <x:v>1980</x:v>
      </x:c>
      <x:c r="I13" s="2" t="n">
        <x:v>15</x:v>
      </x:c>
      <x:c r="J13" s="2" t="n">
        <x:v>10</x:v>
      </x:c>
      <x:c r="K13" s="2" t="n">
        <x:v>15</x:v>
      </x:c>
      <x:c r="L13" s="2" t="n">
        <x:v>10</x:v>
      </x:c>
      <x:c r="M13" s="2" t="n">
        <x:v>15</x:v>
      </x:c>
      <x:c r="N13" s="2" t="n">
        <x:v>10</x:v>
      </x:c>
    </x:row>
    <x:row r="14" ht="23" customHeight="1">
      <x:c r="A14" s="2" t="str">
        <x:v>P013</x:v>
      </x:c>
      <x:c r="B14" s="2" t="str">
        <x:v>Arlo Quinn</x:v>
      </x:c>
      <x:c r="C14" s="2" t="str">
        <x:v>Centre-back</x:v>
      </x:c>
      <x:c r="D14" s="2" t="n">
        <x:v>20</x:v>
      </x:c>
      <x:c r="E14" s="17" t="n">
        <x:v>2400000</x:v>
      </x:c>
      <x:c r="F14" s="17" t="n">
        <x:v>2900000</x:v>
      </x:c>
      <x:c r="G14" s="17" t="n">
        <x:v>19000</x:v>
      </x:c>
      <x:c r="H14" s="18" t="n">
        <x:v>2340</x:v>
      </x:c>
      <x:c r="I14" s="2" t="n">
        <x:v>12</x:v>
      </x:c>
      <x:c r="J14" s="2" t="n">
        <x:v>15</x:v>
      </x:c>
      <x:c r="K14" s="2" t="n">
        <x:v>8</x:v>
      </x:c>
      <x:c r="L14" s="2" t="n">
        <x:v>16</x:v>
      </x:c>
      <x:c r="M14" s="2" t="n">
        <x:v>14</x:v>
      </x:c>
      <x:c r="N14" s="2" t="n">
        <x:v>17</x:v>
      </x:c>
    </x:row>
    <x:row r="15" ht="23" customHeight="1">
      <x:c r="A15" s="2" t="str">
        <x:v>P014</x:v>
      </x:c>
      <x:c r="B15" s="2" t="str">
        <x:v>Hugo West</x:v>
      </x:c>
      <x:c r="C15" s="2" t="str">
        <x:v>Midfielder</x:v>
      </x:c>
      <x:c r="D15" s="2" t="n">
        <x:v>21</x:v>
      </x:c>
      <x:c r="E15" s="17" t="n">
        <x:v>2800000</x:v>
      </x:c>
      <x:c r="F15" s="17" t="n">
        <x:v>3500000</x:v>
      </x:c>
      <x:c r="G15" s="17" t="n">
        <x:v>22000</x:v>
      </x:c>
      <x:c r="H15" s="18" t="n">
        <x:v>2700</x:v>
      </x:c>
      <x:c r="I15" s="2" t="n">
        <x:v>9</x:v>
      </x:c>
      <x:c r="J15" s="2" t="n">
        <x:v>17</x:v>
      </x:c>
      <x:c r="K15" s="2" t="n">
        <x:v>17</x:v>
      </x:c>
      <x:c r="L15" s="2" t="n">
        <x:v>11</x:v>
      </x:c>
      <x:c r="M15" s="2" t="n">
        <x:v>15</x:v>
      </x:c>
      <x:c r="N15" s="2" t="n">
        <x:v>9</x:v>
      </x:c>
    </x:row>
    <x:row r="16" ht="23" customHeight="1">
      <x:c r="A16" s="2" t="str">
        <x:v>P015</x:v>
      </x:c>
      <x:c r="B16" s="2" t="str">
        <x:v>Finn Rowan</x:v>
      </x:c>
      <x:c r="C16" s="2" t="str">
        <x:v>Striker</x:v>
      </x:c>
      <x:c r="D16" s="2" t="n">
        <x:v>22</x:v>
      </x:c>
      <x:c r="E16" s="17" t="n">
        <x:v>3200000</x:v>
      </x:c>
      <x:c r="F16" s="17" t="n">
        <x:v>4100000</x:v>
      </x:c>
      <x:c r="G16" s="17" t="n">
        <x:v>25000</x:v>
      </x:c>
      <x:c r="H16" s="18" t="n">
        <x:v>540</x:v>
      </x:c>
      <x:c r="I16" s="2" t="n">
        <x:v>18</x:v>
      </x:c>
      <x:c r="J16" s="2" t="n">
        <x:v>11</x:v>
      </x:c>
      <x:c r="K16" s="2" t="n">
        <x:v>16</x:v>
      </x:c>
      <x:c r="L16" s="2" t="n">
        <x:v>11</x:v>
      </x:c>
      <x:c r="M16" s="2" t="n">
        <x:v>16</x:v>
      </x:c>
      <x:c r="N16" s="2" t="n">
        <x:v>11</x:v>
      </x:c>
    </x:row>
    <x:row r="17" ht="23" customHeight="1">
      <x:c r="A17" s="2" t="str">
        <x:v>P016</x:v>
      </x:c>
      <x:c r="B17" s="2" t="str">
        <x:v>Joel Ellis</x:v>
      </x:c>
      <x:c r="C17" s="2" t="str">
        <x:v>Wide forward</x:v>
      </x:c>
      <x:c r="D17" s="2" t="n">
        <x:v>23</x:v>
      </x:c>
      <x:c r="E17" s="17" t="n">
        <x:v>3600000</x:v>
      </x:c>
      <x:c r="F17" s="17" t="n">
        <x:v>4100000</x:v>
      </x:c>
      <x:c r="G17" s="17" t="n">
        <x:v>28000</x:v>
      </x:c>
      <x:c r="H17" s="18" t="n">
        <x:v>900</x:v>
      </x:c>
      <x:c r="I17" s="2" t="n">
        <x:v>13</x:v>
      </x:c>
      <x:c r="J17" s="2" t="n">
        <x:v>16</x:v>
      </x:c>
      <x:c r="K17" s="2" t="n">
        <x:v>9</x:v>
      </x:c>
      <x:c r="L17" s="2" t="n">
        <x:v>12</x:v>
      </x:c>
      <x:c r="M17" s="2" t="n">
        <x:v>14</x:v>
      </x:c>
      <x:c r="N17" s="2" t="n">
        <x:v>8</x:v>
      </x:c>
    </x:row>
    <x:row r="18" ht="23" customHeight="1">
      <x:c r="A18" s="2" t="str">
        <x:v>P017</x:v>
      </x:c>
      <x:c r="B18" s="2" t="str">
        <x:v>Kai Sutton</x:v>
      </x:c>
      <x:c r="C18" s="2" t="str">
        <x:v>Centre-back</x:v>
      </x:c>
      <x:c r="D18" s="2" t="n">
        <x:v>24</x:v>
      </x:c>
      <x:c r="E18" s="17" t="n">
        <x:v>800000</x:v>
      </x:c>
      <x:c r="F18" s="17" t="n">
        <x:v>1500000</x:v>
      </x:c>
      <x:c r="G18" s="17" t="n">
        <x:v>7000</x:v>
      </x:c>
      <x:c r="H18" s="18" t="n">
        <x:v>1260</x:v>
      </x:c>
      <x:c r="I18" s="2" t="n">
        <x:v>10</x:v>
      </x:c>
      <x:c r="J18" s="2" t="n">
        <x:v>14</x:v>
      </x:c>
      <x:c r="K18" s="2" t="n">
        <x:v>8</x:v>
      </x:c>
      <x:c r="L18" s="2" t="n">
        <x:v>15</x:v>
      </x:c>
      <x:c r="M18" s="2" t="n">
        <x:v>16</x:v>
      </x:c>
      <x:c r="N18" s="2" t="n">
        <x:v>10</x:v>
      </x:c>
    </x:row>
    <x:row r="19" ht="23" customHeight="1">
      <x:c r="A19" s="2" t="str">
        <x:v>P018</x:v>
      </x:c>
      <x:c r="B19" s="2" t="str">
        <x:v>Alex Moreau</x:v>
      </x:c>
      <x:c r="C19" s="2" t="str">
        <x:v>Midfielder</x:v>
      </x:c>
      <x:c r="D19" s="2" t="n">
        <x:v>25</x:v>
      </x:c>
      <x:c r="E19" s="17" t="n">
        <x:v>1200000</x:v>
      </x:c>
      <x:c r="F19" s="17" t="n">
        <x:v>2100000</x:v>
      </x:c>
      <x:c r="G19" s="17" t="n">
        <x:v>10000</x:v>
      </x:c>
      <x:c r="H19" s="18" t="n">
        <x:v>1620</x:v>
      </x:c>
      <x:c r="I19" s="2" t="n">
        <x:v>17</x:v>
      </x:c>
      <x:c r="J19" s="2" t="n">
        <x:v>16</x:v>
      </x:c>
      <x:c r="K19" s="2" t="n">
        <x:v>17</x:v>
      </x:c>
      <x:c r="L19" s="2" t="n">
        <x:v>12</x:v>
      </x:c>
      <x:c r="M19" s="2" t="n">
        <x:v>17</x:v>
      </x:c>
      <x:c r="N19" s="2" t="n">
        <x:v>12</x:v>
      </x:c>
    </x:row>
    <x:row r="20" ht="23" customHeight="1">
      <x:c r="A20" s="2" t="str">
        <x:v>P019</x:v>
      </x:c>
      <x:c r="B20" s="2" t="str">
        <x:v>Nico Hart</x:v>
      </x:c>
      <x:c r="C20" s="2" t="str">
        <x:v>Striker</x:v>
      </x:c>
      <x:c r="D20" s="2" t="n">
        <x:v>26</x:v>
      </x:c>
      <x:c r="E20" s="17" t="n">
        <x:v>1600000</x:v>
      </x:c>
      <x:c r="F20" s="17" t="n">
        <x:v>2100000</x:v>
      </x:c>
      <x:c r="G20" s="17" t="n">
        <x:v>13000</x:v>
      </x:c>
      <x:c r="H20" s="18" t="n">
        <x:v>1980</x:v>
      </x:c>
      <x:c r="I20" s="2" t="n">
        <x:v>17</x:v>
      </x:c>
      <x:c r="J20" s="2" t="n">
        <x:v>17</x:v>
      </x:c>
      <x:c r="K20" s="2" t="n">
        <x:v>10</x:v>
      </x:c>
      <x:c r="L20" s="2" t="n">
        <x:v>13</x:v>
      </x:c>
      <x:c r="M20" s="2" t="n">
        <x:v>16</x:v>
      </x:c>
      <x:c r="N20" s="2" t="n">
        <x:v>9</x:v>
      </x:c>
    </x:row>
    <x:row r="21" ht="23" customHeight="1">
      <x:c r="A21" s="2" t="str">
        <x:v>P020</x:v>
      </x:c>
      <x:c r="B21" s="2" t="str">
        <x:v>Leon Birch</x:v>
      </x:c>
      <x:c r="C21" s="2" t="str">
        <x:v>Wide forward</x:v>
      </x:c>
      <x:c r="D21" s="2" t="n">
        <x:v>27</x:v>
      </x:c>
      <x:c r="E21" s="17" t="n">
        <x:v>2000000</x:v>
      </x:c>
      <x:c r="F21" s="17" t="n">
        <x:v>2700000</x:v>
      </x:c>
      <x:c r="G21" s="17" t="n">
        <x:v>16000</x:v>
      </x:c>
      <x:c r="H21" s="18" t="n">
        <x:v>2340</x:v>
      </x:c>
      <x:c r="I21" s="2" t="n">
        <x:v>11</x:v>
      </x:c>
      <x:c r="J21" s="2" t="n">
        <x:v>15</x:v>
      </x:c>
      <x:c r="K21" s="2" t="n">
        <x:v>9</x:v>
      </x:c>
      <x:c r="L21" s="2" t="n">
        <x:v>13</x:v>
      </x:c>
      <x:c r="M21" s="2" t="n">
        <x:v>18</x:v>
      </x:c>
      <x:c r="N21" s="2" t="n">
        <x:v>11</x:v>
      </x:c>
    </x:row>
    <x:row r="22" ht="23" customHeight="1">
      <x:c r="A22" s="2" t="str">
        <x:v>P021</x:v>
      </x:c>
      <x:c r="B22" s="2" t="str">
        <x:v>Rory Silva</x:v>
      </x:c>
      <x:c r="C22" s="2" t="str">
        <x:v>Centre-back</x:v>
      </x:c>
      <x:c r="D22" s="2" t="n">
        <x:v>28</x:v>
      </x:c>
      <x:c r="E22" s="17" t="n">
        <x:v>2400000</x:v>
      </x:c>
      <x:c r="F22" s="17" t="n">
        <x:v>3300000</x:v>
      </x:c>
      <x:c r="G22" s="17" t="n">
        <x:v>19000</x:v>
      </x:c>
      <x:c r="H22" s="18" t="n">
        <x:v>2700</x:v>
      </x:c>
      <x:c r="I22" s="2" t="n">
        <x:v>8</x:v>
      </x:c>
      <x:c r="J22" s="2" t="n">
        <x:v>13</x:v>
      </x:c>
      <x:c r="K22" s="2" t="n">
        <x:v>8</x:v>
      </x:c>
      <x:c r="L22" s="2" t="n">
        <x:v>14</x:v>
      </x:c>
      <x:c r="M22" s="2" t="n">
        <x:v>8</x:v>
      </x:c>
      <x:c r="N22" s="2" t="n">
        <x:v>13</x:v>
      </x:c>
    </x:row>
    <x:row r="23" ht="23" customHeight="1">
      <x:c r="A23" s="2" t="str">
        <x:v>P022</x:v>
      </x:c>
      <x:c r="B23" s="2" t="str">
        <x:v>Jude Moss</x:v>
      </x:c>
      <x:c r="C23" s="2" t="str">
        <x:v>Midfielder</x:v>
      </x:c>
      <x:c r="D23" s="2" t="n">
        <x:v>29</x:v>
      </x:c>
      <x:c r="E23" s="17" t="n">
        <x:v>2800000</x:v>
      </x:c>
      <x:c r="F23" s="17" t="n">
        <x:v>3300000</x:v>
      </x:c>
      <x:c r="G23" s="17" t="n">
        <x:v>22000</x:v>
      </x:c>
      <x:c r="H23" s="18" t="n">
        <x:v>540</x:v>
      </x:c>
      <x:c r="I23" s="2" t="n">
        <x:v>15</x:v>
      </x:c>
      <x:c r="J23" s="2" t="n">
        <x:v>15</x:v>
      </x:c>
      <x:c r="K23" s="2" t="n">
        <x:v>11</x:v>
      </x:c>
      <x:c r="L23" s="2" t="n">
        <x:v>14</x:v>
      </x:c>
      <x:c r="M23" s="2" t="n">
        <x:v>17</x:v>
      </x:c>
      <x:c r="N23" s="2" t="n">
        <x:v>10</x:v>
      </x:c>
    </x:row>
    <x:row r="24" ht="23" customHeight="1">
      <x:c r="A24" s="2" t="str">
        <x:v>P023</x:v>
      </x:c>
      <x:c r="B24" s="2" t="str">
        <x:v>Max Arlen</x:v>
      </x:c>
      <x:c r="C24" s="2" t="str">
        <x:v>Striker</x:v>
      </x:c>
      <x:c r="D24" s="2" t="n">
        <x:v>19</x:v>
      </x:c>
      <x:c r="E24" s="17" t="n">
        <x:v>3200000</x:v>
      </x:c>
      <x:c r="F24" s="17" t="n">
        <x:v>3900000</x:v>
      </x:c>
      <x:c r="G24" s="17" t="n">
        <x:v>25000</x:v>
      </x:c>
      <x:c r="H24" s="18" t="n">
        <x:v>900</x:v>
      </x:c>
      <x:c r="I24" s="2" t="n">
        <x:v>16</x:v>
      </x:c>
      <x:c r="J24" s="2" t="n">
        <x:v>16</x:v>
      </x:c>
      <x:c r="K24" s="2" t="n">
        <x:v>10</x:v>
      </x:c>
      <x:c r="L24" s="2" t="n">
        <x:v>14</x:v>
      </x:c>
      <x:c r="M24" s="2" t="n">
        <x:v>8</x:v>
      </x:c>
      <x:c r="N24" s="2" t="n">
        <x:v>12</x:v>
      </x:c>
    </x:row>
    <x:row r="25" ht="23" customHeight="1">
      <x:c r="A25" s="2" t="str">
        <x:v>P024</x:v>
      </x:c>
      <x:c r="B25" s="2" t="str">
        <x:v>Owen Frost</x:v>
      </x:c>
      <x:c r="C25" s="2" t="str">
        <x:v>Wide forward</x:v>
      </x:c>
      <x:c r="D25" s="2" t="n">
        <x:v>20</x:v>
      </x:c>
      <x:c r="E25" s="17" t="n">
        <x:v>3600000</x:v>
      </x:c>
      <x:c r="F25" s="17" t="n">
        <x:v>4500000</x:v>
      </x:c>
      <x:c r="G25" s="17" t="n">
        <x:v>28000</x:v>
      </x:c>
      <x:c r="H25" s="18" t="n">
        <x:v>1260</x:v>
      </x:c>
      <x:c r="I25" s="2" t="n">
        <x:v>9</x:v>
      </x:c>
      <x:c r="J25" s="2" t="n">
        <x:v>14</x:v>
      </x:c>
      <x:c r="K25" s="2" t="n">
        <x:v>9</x:v>
      </x:c>
      <x:c r="L25" s="2" t="n">
        <x:v>14</x:v>
      </x:c>
      <x:c r="M25" s="2" t="n">
        <x:v>17</x:v>
      </x:c>
      <x:c r="N25" s="2" t="n">
        <x:v>14</x:v>
      </x:c>
    </x:row>
    <x:row r="26" ht="23" customHeight="1">
      <x:c r="A26" s="2" t="str">
        <x:v>P025</x:v>
      </x:c>
      <x:c r="B26" s="2" t="str">
        <x:v>Ryan Kaye</x:v>
      </x:c>
      <x:c r="C26" s="2" t="str">
        <x:v>Centre-back</x:v>
      </x:c>
      <x:c r="D26" s="2" t="n">
        <x:v>21</x:v>
      </x:c>
      <x:c r="E26" s="17" t="n">
        <x:v>800000</x:v>
      </x:c>
      <x:c r="F26" s="17" t="n">
        <x:v>1300000</x:v>
      </x:c>
      <x:c r="G26" s="17" t="n">
        <x:v>7000</x:v>
      </x:c>
      <x:c r="H26" s="18" t="n">
        <x:v>1620</x:v>
      </x:c>
      <x:c r="I26" s="2" t="n">
        <x:v>16</x:v>
      </x:c>
      <x:c r="J26" s="2" t="n">
        <x:v>9</x:v>
      </x:c>
      <x:c r="K26" s="2" t="n">
        <x:v>12</x:v>
      </x:c>
      <x:c r="L26" s="2" t="n">
        <x:v>18</x:v>
      </x:c>
      <x:c r="M26" s="2" t="n">
        <x:v>8</x:v>
      </x:c>
      <x:c r="N26" s="2" t="n">
        <x:v>11</x:v>
      </x:c>
    </x:row>
    <x:row r="27" ht="23" customHeight="1">
      <x:c r="A27" s="2" t="str">
        <x:v>P026</x:v>
      </x:c>
      <x:c r="B27" s="2" t="str">
        <x:v>Sam Larkin</x:v>
      </x:c>
      <x:c r="C27" s="2" t="str">
        <x:v>Midfielder</x:v>
      </x:c>
      <x:c r="D27" s="2" t="n">
        <x:v>22</x:v>
      </x:c>
      <x:c r="E27" s="17" t="n">
        <x:v>1200000</x:v>
      </x:c>
      <x:c r="F27" s="17" t="n">
        <x:v>1900000</x:v>
      </x:c>
      <x:c r="G27" s="17" t="n">
        <x:v>10000</x:v>
      </x:c>
      <x:c r="H27" s="18" t="n">
        <x:v>1980</x:v>
      </x:c>
      <x:c r="I27" s="2" t="n">
        <x:v>13</x:v>
      </x:c>
      <x:c r="J27" s="2" t="n">
        <x:v>14</x:v>
      </x:c>
      <x:c r="K27" s="2" t="n">
        <x:v>11</x:v>
      </x:c>
      <x:c r="L27" s="2" t="n">
        <x:v>15</x:v>
      </x:c>
      <x:c r="M27" s="2" t="n">
        <x:v>9</x:v>
      </x:c>
      <x:c r="N27" s="2" t="n">
        <x:v>13</x:v>
      </x:c>
    </x:row>
    <x:row r="28" ht="23" customHeight="1">
      <x:c r="A28" s="2" t="str">
        <x:v>P027</x:v>
      </x:c>
      <x:c r="B28" s="2" t="str">
        <x:v>Ezra Cole</x:v>
      </x:c>
      <x:c r="C28" s="2" t="str">
        <x:v>Striker</x:v>
      </x:c>
      <x:c r="D28" s="2" t="n">
        <x:v>23</x:v>
      </x:c>
      <x:c r="E28" s="17" t="n">
        <x:v>1600000</x:v>
      </x:c>
      <x:c r="F28" s="17" t="n">
        <x:v>2500000</x:v>
      </x:c>
      <x:c r="G28" s="17" t="n">
        <x:v>13000</x:v>
      </x:c>
      <x:c r="H28" s="18" t="n">
        <x:v>2340</x:v>
      </x:c>
      <x:c r="I28" s="2" t="n">
        <x:v>15</x:v>
      </x:c>
      <x:c r="J28" s="2" t="n">
        <x:v>15</x:v>
      </x:c>
      <x:c r="K28" s="2" t="n">
        <x:v>10</x:v>
      </x:c>
      <x:c r="L28" s="2" t="n">
        <x:v>15</x:v>
      </x:c>
      <x:c r="M28" s="2" t="n">
        <x:v>10</x:v>
      </x:c>
      <x:c r="N28" s="2" t="n">
        <x:v>15</x:v>
      </x:c>
    </x:row>
    <x:row r="29" ht="23" customHeight="1">
      <x:c r="A29" s="2" t="str">
        <x:v>P028</x:v>
      </x:c>
      <x:c r="B29" s="2" t="str">
        <x:v>Ivo Penn</x:v>
      </x:c>
      <x:c r="C29" s="2" t="str">
        <x:v>Wide forward</x:v>
      </x:c>
      <x:c r="D29" s="2" t="n">
        <x:v>24</x:v>
      </x:c>
      <x:c r="E29" s="17" t="n">
        <x:v>2000000</x:v>
      </x:c>
      <x:c r="F29" s="17" t="n">
        <x:v>2500000</x:v>
      </x:c>
      <x:c r="G29" s="17" t="n">
        <x:v>16000</x:v>
      </x:c>
      <x:c r="H29" s="18" t="n">
        <x:v>2700</x:v>
      </x:c>
      <x:c r="I29" s="2" t="n">
        <x:v>17</x:v>
      </x:c>
      <x:c r="J29" s="2" t="n">
        <x:v>10</x:v>
      </x:c>
      <x:c r="K29" s="2" t="n">
        <x:v>13</x:v>
      </x:c>
      <x:c r="L29" s="2" t="n">
        <x:v>16</x:v>
      </x:c>
      <x:c r="M29" s="2" t="n">
        <x:v>16</x:v>
      </x:c>
      <x:c r="N29" s="2" t="n">
        <x:v>12</x:v>
      </x:c>
    </x:row>
    <x:row r="30" ht="23" customHeight="1">
      <x:c r="A30" s="2" t="str">
        <x:v>P029</x:v>
      </x:c>
      <x:c r="B30" s="2" t="str">
        <x:v>Luis Arden</x:v>
      </x:c>
      <x:c r="C30" s="2" t="str">
        <x:v>Centre-back</x:v>
      </x:c>
      <x:c r="D30" s="2" t="n">
        <x:v>25</x:v>
      </x:c>
      <x:c r="E30" s="17" t="n">
        <x:v>2400000</x:v>
      </x:c>
      <x:c r="F30" s="17" t="n">
        <x:v>3100000</x:v>
      </x:c>
      <x:c r="G30" s="17" t="n">
        <x:v>19000</x:v>
      </x:c>
      <x:c r="H30" s="18" t="n">
        <x:v>540</x:v>
      </x:c>
      <x:c r="I30" s="2" t="n">
        <x:v>14</x:v>
      </x:c>
      <x:c r="J30" s="2" t="n">
        <x:v>8</x:v>
      </x:c>
      <x:c r="K30" s="2" t="n">
        <x:v>12</x:v>
      </x:c>
      <x:c r="L30" s="2" t="n">
        <x:v>17</x:v>
      </x:c>
      <x:c r="M30" s="2" t="n">
        <x:v>10</x:v>
      </x:c>
      <x:c r="N30" s="2" t="n">
        <x:v>14</x:v>
      </x:c>
    </x:row>
    <x:row r="31" ht="23" customHeight="1">
      <x:c r="A31" s="2" t="str">
        <x:v>P030</x:v>
      </x:c>
      <x:c r="B31" s="2" t="str">
        <x:v>Remy Vale</x:v>
      </x:c>
      <x:c r="C31" s="2" t="str">
        <x:v>Midfielder</x:v>
      </x:c>
      <x:c r="D31" s="2" t="n">
        <x:v>26</x:v>
      </x:c>
      <x:c r="E31" s="17" t="n">
        <x:v>2800000</x:v>
      </x:c>
      <x:c r="F31" s="17" t="n">
        <x:v>3700000</x:v>
      </x:c>
      <x:c r="G31" s="17" t="n">
        <x:v>22000</x:v>
      </x:c>
      <x:c r="H31" s="18" t="n">
        <x:v>900</x:v>
      </x:c>
      <x:c r="I31" s="2" t="n">
        <x:v>11</x:v>
      </x:c>
      <x:c r="J31" s="2" t="n">
        <x:v>18</x:v>
      </x:c>
      <x:c r="K31" s="2" t="n">
        <x:v>11</x:v>
      </x:c>
      <x:c r="L31" s="2" t="n">
        <x:v>16</x:v>
      </x:c>
      <x:c r="M31" s="2" t="n">
        <x:v>11</x:v>
      </x:c>
      <x:c r="N31" s="2" t="n">
        <x:v>16</x:v>
      </x:c>
    </x:row>
    <x:row r="32" ht="23" customHeight="1">
      <x:c r="A32" s="2" t="str">
        <x:v>P031</x:v>
      </x:c>
      <x:c r="B32" s="2" t="str">
        <x:v>Ellis Shaw</x:v>
      </x:c>
      <x:c r="C32" s="2" t="str">
        <x:v>Striker</x:v>
      </x:c>
      <x:c r="D32" s="2" t="n">
        <x:v>27</x:v>
      </x:c>
      <x:c r="E32" s="17" t="n">
        <x:v>3200000</x:v>
      </x:c>
      <x:c r="F32" s="17" t="n">
        <x:v>3700000</x:v>
      </x:c>
      <x:c r="G32" s="17" t="n">
        <x:v>25000</x:v>
      </x:c>
      <x:c r="H32" s="18" t="n">
        <x:v>1260</x:v>
      </x:c>
      <x:c r="I32" s="2" t="n">
        <x:v>14</x:v>
      </x:c>
      <x:c r="J32" s="2" t="n">
        <x:v>11</x:v>
      </x:c>
      <x:c r="K32" s="2" t="n">
        <x:v>14</x:v>
      </x:c>
      <x:c r="L32" s="2" t="n">
        <x:v>17</x:v>
      </x:c>
      <x:c r="M32" s="2" t="n">
        <x:v>10</x:v>
      </x:c>
      <x:c r="N32" s="2" t="n">
        <x:v>13</x:v>
      </x:c>
    </x:row>
    <x:row r="33" ht="23" customHeight="1">
      <x:c r="A33" s="2" t="str">
        <x:v>P032</x:v>
      </x:c>
      <x:c r="B33" s="2" t="str">
        <x:v>Dylan Grey</x:v>
      </x:c>
      <x:c r="C33" s="2" t="str">
        <x:v>Wide forward</x:v>
      </x:c>
      <x:c r="D33" s="2" t="n">
        <x:v>28</x:v>
      </x:c>
      <x:c r="E33" s="17" t="n">
        <x:v>3600000</x:v>
      </x:c>
      <x:c r="F33" s="17" t="n">
        <x:v>4300000</x:v>
      </x:c>
      <x:c r="G33" s="17" t="n">
        <x:v>28000</x:v>
      </x:c>
      <x:c r="H33" s="18" t="n">
        <x:v>1620</x:v>
      </x:c>
      <x:c r="I33" s="2" t="n">
        <x:v>15</x:v>
      </x:c>
      <x:c r="J33" s="2" t="n">
        <x:v>9</x:v>
      </x:c>
      <x:c r="K33" s="2" t="n">
        <x:v>13</x:v>
      </x:c>
      <x:c r="L33" s="2" t="n">
        <x:v>17</x:v>
      </x:c>
      <x:c r="M33" s="2" t="n">
        <x:v>15</x:v>
      </x:c>
      <x:c r="N33" s="2" t="n">
        <x:v>15</x:v>
      </x:c>
    </x:row>
    <x:row r="34" ht="23" customHeight="1">
      <x:c r="A34" s="2" t="str">
        <x:v>P033</x:v>
      </x:c>
      <x:c r="B34" s="2" t="str">
        <x:v>Evan Holt</x:v>
      </x:c>
      <x:c r="C34" s="2" t="str">
        <x:v>Centre-back</x:v>
      </x:c>
      <x:c r="D34" s="2" t="n">
        <x:v>29</x:v>
      </x:c>
      <x:c r="E34" s="17" t="n">
        <x:v>800000</x:v>
      </x:c>
      <x:c r="F34" s="17" t="n">
        <x:v>1700000</x:v>
      </x:c>
      <x:c r="G34" s="17" t="n">
        <x:v>7000</x:v>
      </x:c>
      <x:c r="H34" s="18" t="n">
        <x:v>1980</x:v>
      </x:c>
      <x:c r="I34" s="2" t="n">
        <x:v>12</x:v>
      </x:c>
      <x:c r="J34" s="2" t="n">
        <x:v>17</x:v>
      </x:c>
      <x:c r="K34" s="2" t="n">
        <x:v>12</x:v>
      </x:c>
      <x:c r="L34" s="2" t="n">
        <x:v>16</x:v>
      </x:c>
      <x:c r="M34" s="2" t="n">
        <x:v>12</x:v>
      </x:c>
      <x:c r="N34" s="2" t="n">
        <x:v>17</x:v>
      </x:c>
    </x:row>
    <x:row r="35" ht="23" customHeight="1">
      <x:c r="A35" s="2" t="str">
        <x:v>P034</x:v>
      </x:c>
      <x:c r="B35" s="2" t="str">
        <x:v>Zac Rivers</x:v>
      </x:c>
      <x:c r="C35" s="2" t="str">
        <x:v>Midfielder</x:v>
      </x:c>
      <x:c r="D35" s="2" t="n">
        <x:v>19</x:v>
      </x:c>
      <x:c r="E35" s="17" t="n">
        <x:v>1200000</x:v>
      </x:c>
      <x:c r="F35" s="17"/>
      <x:c r="G35" s="17" t="n">
        <x:v>10000</x:v>
      </x:c>
      <x:c r="H35" s="18" t="n">
        <x:v>2340</x:v>
      </x:c>
      <x:c r="I35" s="2" t="n">
        <x:v>9</x:v>
      </x:c>
      <x:c r="J35" s="2" t="n">
        <x:v>17</x:v>
      </x:c>
      <x:c r="K35" s="2" t="n">
        <x:v>15</x:v>
      </x:c>
      <x:c r="L35" s="2" t="n">
        <x:v>8</x:v>
      </x:c>
      <x:c r="M35" s="2" t="n">
        <x:v>11</x:v>
      </x:c>
      <x:c r="N35" s="2" t="n">
        <x:v>14</x:v>
      </x:c>
    </x:row>
    <x:row r="36" ht="23" customHeight="1">
      <x:c r="A36" s="2" t="str">
        <x:v>P035</x:v>
      </x:c>
      <x:c r="B36" s="2" t="str">
        <x:v>Adam Lane</x:v>
      </x:c>
      <x:c r="C36" s="2" t="str">
        <x:v>Striker</x:v>
      </x:c>
      <x:c r="D36" s="2" t="n">
        <x:v>20</x:v>
      </x:c>
      <x:c r="E36" s="17" t="n">
        <x:v>1600000</x:v>
      </x:c>
      <x:c r="F36" s="17" t="n">
        <x:v>2300000</x:v>
      </x:c>
      <x:c r="G36" s="17" t="n">
        <x:v>13000</x:v>
      </x:c>
      <x:c r="H36" s="18" t="n">
        <x:v>2700</x:v>
      </x:c>
      <x:c r="I36" s="2" t="n">
        <x:v>18</x:v>
      </x:c>
      <x:c r="J36" s="2" t="n">
        <x:v>10</x:v>
      </x:c>
      <x:c r="K36" s="2" t="n">
        <x:v>14</x:v>
      </x:c>
      <x:c r="L36" s="2"/>
      <x:c r="M36" s="2" t="n">
        <x:v>12</x:v>
      </x:c>
      <x:c r="N36" s="2" t="n">
        <x:v>16</x:v>
      </x:c>
    </x:row>
    <x:row r="37" ht="23" customHeight="1">
      <x:c r="A37" s="2" t="str">
        <x:v>P035</x:v>
      </x:c>
      <x:c r="B37" s="2" t="str">
        <x:v>Felix Stone</x:v>
      </x:c>
      <x:c r="C37" s="2" t="str">
        <x:v>Wide forward</x:v>
      </x:c>
      <x:c r="D37" s="2" t="n">
        <x:v>21</x:v>
      </x:c>
      <x:c r="E37" s="17" t="n">
        <x:v>2000000</x:v>
      </x:c>
      <x:c r="F37" s="17" t="n">
        <x:v>2900000</x:v>
      </x:c>
      <x:c r="G37" s="17" t="n">
        <x:v>16000</x:v>
      </x:c>
      <x:c r="H37" s="18" t="n">
        <x:v>540</x:v>
      </x:c>
      <x:c r="I37" s="2" t="n">
        <x:v>13</x:v>
      </x:c>
      <x:c r="J37" s="2" t="n">
        <x:v>8</x:v>
      </x:c>
      <x:c r="K37" s="2" t="n">
        <x:v>13</x:v>
      </x:c>
      <x:c r="L37" s="2" t="n">
        <x:v>8</x:v>
      </x:c>
      <x:c r="M37" s="2" t="n">
        <x:v>14</x:v>
      </x:c>
      <x:c r="N37" s="2" t="n">
        <x:v>8</x:v>
      </x:c>
    </x:row>
    <x:row r="38" ht="23" customHeight="1">
      <x:c r="A38" s="2"/>
      <x:c r="B38" s="2"/>
      <x:c r="C38" s="2"/>
      <x:c r="D38" s="2"/>
      <x:c r="E38" s="17"/>
      <x:c r="F38" s="17"/>
      <x:c r="G38" s="17"/>
      <x:c r="H38" s="18"/>
      <x:c r="I38" s="2"/>
      <x:c r="J38" s="2"/>
      <x:c r="K38" s="2"/>
      <x:c r="L38" s="2"/>
      <x:c r="M38" s="2"/>
      <x:c r="N38" s="2"/>
    </x:row>
    <x:row r="39" ht="23" customHeight="1">
      <x:c r="A39" s="2"/>
      <x:c r="B39" s="2"/>
      <x:c r="C39" s="2"/>
      <x:c r="D39" s="2"/>
      <x:c r="E39" s="17"/>
      <x:c r="F39" s="17"/>
      <x:c r="G39" s="17"/>
      <x:c r="H39" s="18"/>
      <x:c r="I39" s="2"/>
      <x:c r="J39" s="2"/>
      <x:c r="K39" s="2"/>
      <x:c r="L39" s="2"/>
      <x:c r="M39" s="2"/>
      <x:c r="N39" s="2"/>
    </x:row>
    <x:row r="40" ht="23" customHeight="1">
      <x:c r="A40" s="2"/>
      <x:c r="B40" s="2"/>
      <x:c r="C40" s="2"/>
      <x:c r="D40" s="2"/>
      <x:c r="E40" s="17"/>
      <x:c r="F40" s="17"/>
      <x:c r="G40" s="17"/>
      <x:c r="H40" s="18"/>
      <x:c r="I40" s="2"/>
      <x:c r="J40" s="2"/>
      <x:c r="K40" s="2"/>
      <x:c r="L40" s="2"/>
      <x:c r="M40" s="2"/>
      <x:c r="N40" s="2"/>
    </x:row>
    <x:row r="41" ht="23" customHeight="1">
      <x:c r="A41" s="2"/>
      <x:c r="B41" s="2"/>
      <x:c r="C41" s="2"/>
      <x:c r="D41" s="2"/>
      <x:c r="E41" s="17"/>
      <x:c r="F41" s="17"/>
      <x:c r="G41" s="17"/>
      <x:c r="H41" s="18"/>
      <x:c r="I41" s="2"/>
      <x:c r="J41" s="2"/>
      <x:c r="K41" s="2"/>
      <x:c r="L41" s="2"/>
      <x:c r="M41" s="2"/>
      <x:c r="N41" s="2"/>
    </x:row>
    <x:row r="42" ht="23" customHeight="1">
      <x:c r="A42" s="2"/>
      <x:c r="B42" s="2"/>
      <x:c r="C42" s="2"/>
      <x:c r="D42" s="2"/>
      <x:c r="E42" s="17"/>
      <x:c r="F42" s="17"/>
      <x:c r="G42" s="17"/>
      <x:c r="H42" s="18"/>
      <x:c r="I42" s="2"/>
      <x:c r="J42" s="2"/>
      <x:c r="K42" s="2"/>
      <x:c r="L42" s="2"/>
      <x:c r="M42" s="2"/>
      <x:c r="N42" s="2"/>
    </x:row>
    <x:row r="43" ht="23" customHeight="1">
      <x:c r="A43" s="2"/>
      <x:c r="B43" s="2"/>
      <x:c r="C43" s="2"/>
      <x:c r="D43" s="2"/>
      <x:c r="E43" s="17"/>
      <x:c r="F43" s="17"/>
      <x:c r="G43" s="17"/>
      <x:c r="H43" s="18"/>
      <x:c r="I43" s="2"/>
      <x:c r="J43" s="2"/>
      <x:c r="K43" s="2"/>
      <x:c r="L43" s="2"/>
      <x:c r="M43" s="2"/>
      <x:c r="N43" s="2"/>
    </x:row>
    <x:row r="44" ht="23" customHeight="1">
      <x:c r="A44" s="2"/>
      <x:c r="B44" s="2"/>
      <x:c r="C44" s="2"/>
      <x:c r="D44" s="2"/>
      <x:c r="E44" s="17"/>
      <x:c r="F44" s="17"/>
      <x:c r="G44" s="17"/>
      <x:c r="H44" s="18"/>
      <x:c r="I44" s="2"/>
      <x:c r="J44" s="2"/>
      <x:c r="K44" s="2"/>
      <x:c r="L44" s="2"/>
      <x:c r="M44" s="2"/>
      <x:c r="N44" s="2"/>
    </x:row>
    <x:row r="45" ht="23" customHeight="1">
      <x:c r="A45" s="2"/>
      <x:c r="B45" s="2"/>
      <x:c r="C45" s="2"/>
      <x:c r="D45" s="2"/>
      <x:c r="E45" s="17"/>
      <x:c r="F45" s="17"/>
      <x:c r="G45" s="17"/>
      <x:c r="H45" s="18"/>
      <x:c r="I45" s="2"/>
      <x:c r="J45" s="2"/>
      <x:c r="K45" s="2"/>
      <x:c r="L45" s="2"/>
      <x:c r="M45" s="2"/>
      <x:c r="N45" s="2"/>
    </x:row>
    <x:row r="46" ht="23" customHeight="1">
      <x:c r="A46" s="2"/>
      <x:c r="B46" s="2"/>
      <x:c r="C46" s="2"/>
      <x:c r="D46" s="2"/>
      <x:c r="E46" s="17"/>
      <x:c r="F46" s="17"/>
      <x:c r="G46" s="17"/>
      <x:c r="H46" s="18"/>
      <x:c r="I46" s="2"/>
      <x:c r="J46" s="2"/>
      <x:c r="K46" s="2"/>
      <x:c r="L46" s="2"/>
      <x:c r="M46" s="2"/>
      <x:c r="N46" s="2"/>
    </x:row>
    <x:row r="47" ht="23" customHeight="1">
      <x:c r="A47" s="2"/>
      <x:c r="B47" s="2"/>
      <x:c r="C47" s="2"/>
      <x:c r="D47" s="2"/>
      <x:c r="E47" s="17"/>
      <x:c r="F47" s="17"/>
      <x:c r="G47" s="17"/>
      <x:c r="H47" s="18"/>
      <x:c r="I47" s="2"/>
      <x:c r="J47" s="2"/>
      <x:c r="K47" s="2"/>
      <x:c r="L47" s="2"/>
      <x:c r="M47" s="2"/>
      <x:c r="N47" s="2"/>
    </x:row>
    <x:row r="48" ht="23" customHeight="1">
      <x:c r="A48" s="2"/>
      <x:c r="B48" s="2"/>
      <x:c r="C48" s="2"/>
      <x:c r="D48" s="2"/>
      <x:c r="E48" s="17"/>
      <x:c r="F48" s="17"/>
      <x:c r="G48" s="17"/>
      <x:c r="H48" s="18"/>
      <x:c r="I48" s="2"/>
      <x:c r="J48" s="2"/>
      <x:c r="K48" s="2"/>
      <x:c r="L48" s="2"/>
      <x:c r="M48" s="2"/>
      <x:c r="N48" s="2"/>
    </x:row>
    <x:row r="49" ht="23" customHeight="1">
      <x:c r="A49" s="2"/>
      <x:c r="B49" s="2"/>
      <x:c r="C49" s="2"/>
      <x:c r="D49" s="2"/>
      <x:c r="E49" s="17"/>
      <x:c r="F49" s="17"/>
      <x:c r="G49" s="17"/>
      <x:c r="H49" s="18"/>
      <x:c r="I49" s="2"/>
      <x:c r="J49" s="2"/>
      <x:c r="K49" s="2"/>
      <x:c r="L49" s="2"/>
      <x:c r="M49" s="2"/>
      <x:c r="N49" s="2"/>
    </x:row>
    <x:row r="50" ht="23" customHeight="1">
      <x:c r="A50" s="2"/>
      <x:c r="B50" s="2"/>
      <x:c r="C50" s="2"/>
      <x:c r="D50" s="2"/>
      <x:c r="E50" s="17"/>
      <x:c r="F50" s="17"/>
      <x:c r="G50" s="17"/>
      <x:c r="H50" s="18"/>
      <x:c r="I50" s="2"/>
      <x:c r="J50" s="2"/>
      <x:c r="K50" s="2"/>
      <x:c r="L50" s="2"/>
      <x:c r="M50" s="2"/>
      <x:c r="N50" s="2"/>
    </x:row>
    <x:row r="51" ht="23" customHeight="1">
      <x:c r="A51" s="2"/>
      <x:c r="B51" s="2"/>
      <x:c r="C51" s="2"/>
      <x:c r="D51" s="2"/>
      <x:c r="E51" s="17"/>
      <x:c r="F51" s="17"/>
      <x:c r="G51" s="17"/>
      <x:c r="H51" s="18"/>
      <x:c r="I51" s="2"/>
      <x:c r="J51" s="2"/>
      <x:c r="K51" s="2"/>
      <x:c r="L51" s="2"/>
      <x:c r="M51" s="2"/>
      <x:c r="N51" s="2"/>
    </x:row>
    <x:row r="52" ht="23" customHeight="1">
      <x:c r="A52" s="2"/>
      <x:c r="B52" s="2"/>
      <x:c r="C52" s="2"/>
      <x:c r="D52" s="2"/>
      <x:c r="E52" s="17"/>
      <x:c r="F52" s="17"/>
      <x:c r="G52" s="17"/>
      <x:c r="H52" s="18"/>
      <x:c r="I52" s="2"/>
      <x:c r="J52" s="2"/>
      <x:c r="K52" s="2"/>
      <x:c r="L52" s="2"/>
      <x:c r="M52" s="2"/>
      <x:c r="N52" s="2"/>
    </x:row>
    <x:row r="53" ht="23" customHeight="1">
      <x:c r="A53" s="2"/>
      <x:c r="B53" s="2"/>
      <x:c r="C53" s="2"/>
      <x:c r="D53" s="2"/>
      <x:c r="E53" s="17"/>
      <x:c r="F53" s="17"/>
      <x:c r="G53" s="17"/>
      <x:c r="H53" s="18"/>
      <x:c r="I53" s="2"/>
      <x:c r="J53" s="2"/>
      <x:c r="K53" s="2"/>
      <x:c r="L53" s="2"/>
      <x:c r="M53" s="2"/>
      <x:c r="N53" s="2"/>
    </x:row>
    <x:row r="54" ht="23" customHeight="1">
      <x:c r="A54" s="2"/>
      <x:c r="B54" s="2"/>
      <x:c r="C54" s="2"/>
      <x:c r="D54" s="2"/>
      <x:c r="E54" s="17"/>
      <x:c r="F54" s="17"/>
      <x:c r="G54" s="17"/>
      <x:c r="H54" s="18"/>
      <x:c r="I54" s="2"/>
      <x:c r="J54" s="2"/>
      <x:c r="K54" s="2"/>
      <x:c r="L54" s="2"/>
      <x:c r="M54" s="2"/>
      <x:c r="N54" s="2"/>
    </x:row>
    <x:row r="55" ht="23" customHeight="1">
      <x:c r="A55" s="2"/>
      <x:c r="B55" s="2"/>
      <x:c r="C55" s="2"/>
      <x:c r="D55" s="2"/>
      <x:c r="E55" s="17"/>
      <x:c r="F55" s="17"/>
      <x:c r="G55" s="17"/>
      <x:c r="H55" s="18"/>
      <x:c r="I55" s="2"/>
      <x:c r="J55" s="2"/>
      <x:c r="K55" s="2"/>
      <x:c r="L55" s="2"/>
      <x:c r="M55" s="2"/>
      <x:c r="N55" s="2"/>
    </x:row>
    <x:row r="56" ht="23" customHeight="1">
      <x:c r="A56" s="2"/>
      <x:c r="B56" s="2"/>
      <x:c r="C56" s="2"/>
      <x:c r="D56" s="2"/>
      <x:c r="E56" s="17"/>
      <x:c r="F56" s="17"/>
      <x:c r="G56" s="17"/>
      <x:c r="H56" s="18"/>
      <x:c r="I56" s="2"/>
      <x:c r="J56" s="2"/>
      <x:c r="K56" s="2"/>
      <x:c r="L56" s="2"/>
      <x:c r="M56" s="2"/>
      <x:c r="N56" s="2"/>
    </x:row>
    <x:row r="57" ht="23" customHeight="1">
      <x:c r="A57" s="2"/>
      <x:c r="B57" s="2"/>
      <x:c r="C57" s="2"/>
      <x:c r="D57" s="2"/>
      <x:c r="E57" s="17"/>
      <x:c r="F57" s="17"/>
      <x:c r="G57" s="17"/>
      <x:c r="H57" s="18"/>
      <x:c r="I57" s="2"/>
      <x:c r="J57" s="2"/>
      <x:c r="K57" s="2"/>
      <x:c r="L57" s="2"/>
      <x:c r="M57" s="2"/>
      <x:c r="N57" s="2"/>
    </x:row>
    <x:row r="58" ht="23" customHeight="1">
      <x:c r="A58" s="2"/>
      <x:c r="B58" s="2"/>
      <x:c r="C58" s="2"/>
      <x:c r="D58" s="2"/>
      <x:c r="E58" s="17"/>
      <x:c r="F58" s="17"/>
      <x:c r="G58" s="17"/>
      <x:c r="H58" s="18"/>
      <x:c r="I58" s="2"/>
      <x:c r="J58" s="2"/>
      <x:c r="K58" s="2"/>
      <x:c r="L58" s="2"/>
      <x:c r="M58" s="2"/>
      <x:c r="N58" s="2"/>
    </x:row>
    <x:row r="59" ht="23" customHeight="1">
      <x:c r="A59" s="2"/>
      <x:c r="B59" s="2"/>
      <x:c r="C59" s="2"/>
      <x:c r="D59" s="2"/>
      <x:c r="E59" s="17"/>
      <x:c r="F59" s="17"/>
      <x:c r="G59" s="17"/>
      <x:c r="H59" s="18"/>
      <x:c r="I59" s="2"/>
      <x:c r="J59" s="2"/>
      <x:c r="K59" s="2"/>
      <x:c r="L59" s="2"/>
      <x:c r="M59" s="2"/>
      <x:c r="N59" s="2"/>
    </x:row>
    <x:row r="60" ht="23" customHeight="1">
      <x:c r="A60" s="2"/>
      <x:c r="B60" s="2"/>
      <x:c r="C60" s="2"/>
      <x:c r="D60" s="2"/>
      <x:c r="E60" s="17"/>
      <x:c r="F60" s="17"/>
      <x:c r="G60" s="17"/>
      <x:c r="H60" s="18"/>
      <x:c r="I60" s="2"/>
      <x:c r="J60" s="2"/>
      <x:c r="K60" s="2"/>
      <x:c r="L60" s="2"/>
      <x:c r="M60" s="2"/>
      <x:c r="N60" s="2"/>
    </x:row>
    <x:row r="61" ht="23" customHeight="1">
      <x:c r="A61" s="2"/>
      <x:c r="B61" s="2"/>
      <x:c r="C61" s="2"/>
      <x:c r="D61" s="2"/>
      <x:c r="E61" s="17"/>
      <x:c r="F61" s="17"/>
      <x:c r="G61" s="17"/>
      <x:c r="H61" s="18"/>
      <x:c r="I61" s="2"/>
      <x:c r="J61" s="2"/>
      <x:c r="K61" s="2"/>
      <x:c r="L61" s="2"/>
      <x:c r="M61" s="2"/>
      <x:c r="N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23" customHeight="1">
      <x:c r="A63" s="2" t="str">
        <x:v>Fictional demo. Replace input rows only; blank capacity through row 61.</x:v>
      </x:c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</x:sheetData>
  <x:conditionalFormatting sqref="A2:A61">
    <x:cfRule type="expression" dxfId="2" priority="1">
      <x:formula>AND(A2&lt;&gt;"",COUNTIF($A$2:$A$61,A2)&gt;1)</x:formula>
    </x:cfRule>
  </x:conditionalFormatting>
  <x:dataValidations count="4">
    <x:dataValidation type="list" sqref="C2:C61">
      <x:formula1>"Centre-back,Midfielder,Striker,Wide forward"</x:formula1>
    </x:dataValidation>
    <x:dataValidation type="whole" operator="between" sqref="D2:D61">
      <x:formula1>15</x:formula1>
      <x:formula2>50</x:formula2>
    </x:dataValidation>
    <x:dataValidation type="whole" operator="between" sqref="I2:N61">
      <x:formula1>1</x:formula1>
      <x:formula2>20</x:formula2>
    </x:dataValidation>
    <x:dataValidation type="whole" operator="greaterThanOrEqual" sqref="E2:H6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d64c62cff54118"/>
  </x:tableParts>
</x:worksheet>
</file>